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66925"/>
  <mc:AlternateContent xmlns:mc="http://schemas.openxmlformats.org/markup-compatibility/2006">
    <mc:Choice Requires="x15">
      <x15ac:absPath xmlns:x15ac="http://schemas.microsoft.com/office/spreadsheetml/2010/11/ac" url="/Users/apple/Downloads/"/>
    </mc:Choice>
  </mc:AlternateContent>
  <xr:revisionPtr revIDLastSave="0" documentId="8_{468DD094-2DB0-194E-A4E1-945E99A2887D}" xr6:coauthVersionLast="47" xr6:coauthVersionMax="47" xr10:uidLastSave="{00000000-0000-0000-0000-000000000000}"/>
  <bookViews>
    <workbookView xWindow="0" yWindow="500" windowWidth="29040" windowHeight="15720" activeTab="3" xr2:uid="{C81CF3EF-A561-4E30-B8B4-264660A084B2}"/>
  </bookViews>
  <sheets>
    <sheet name="CT FAQ" sheetId="1" r:id="rId1"/>
    <sheet name="Fines and Penalties CT" sheetId="3" r:id="rId2"/>
    <sheet name="VAT FAQ" sheetId="2" r:id="rId3"/>
    <sheet name="Deregistration - VAT" sheetId="16" r:id="rId4"/>
    <sheet name="Deregistration -CT" sheetId="15" r:id="rId5"/>
    <sheet name="Taxable Income !" sheetId="17" r:id="rId6"/>
    <sheet name="Custom Law (UAE)" sheetId="9" r:id="rId7"/>
    <sheet name="Tax Residency" sheetId="18" r:id="rId8"/>
    <sheet name="Designated Zones (VAT)" sheetId="8" r:id="rId9"/>
    <sheet name="Temporary Import" sheetId="10" r:id="rId10"/>
    <sheet name="Penal Custom" sheetId="11" r:id="rId11"/>
    <sheet name="Employee Benefit" sheetId="14" r:id="rId12"/>
    <sheet name="Website (Changes)" sheetId="7" r:id="rId13"/>
    <sheet name="Gold Transactions" sheetId="19" r:id="rId14"/>
    <sheet name="Economic Data" sheetId="6" r:id="rId15"/>
    <sheet name="Commercial Company Law" sheetId="13" r:id="rId16"/>
    <sheet name="Tariffs" sheetId="21" r:id="rId17"/>
    <sheet name="CT Calculator" sheetId="4" r:id="rId18"/>
  </sheets>
  <definedNames>
    <definedName name="_xlnm._FilterDatabase" localSheetId="0" hidden="1">'CT FAQ'!$A$2:$C$211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06" i="1" l="1"/>
  <c r="B303" i="1"/>
  <c r="B300" i="1"/>
  <c r="B297" i="1"/>
  <c r="B294" i="1"/>
  <c r="B291" i="1"/>
  <c r="B288" i="1"/>
  <c r="B285" i="1"/>
  <c r="B282" i="1"/>
  <c r="B279" i="1"/>
  <c r="B276" i="1"/>
  <c r="B273" i="1"/>
  <c r="B270" i="1"/>
  <c r="B267" i="1"/>
  <c r="B264" i="1"/>
  <c r="B261" i="1"/>
  <c r="B258" i="1"/>
  <c r="B255" i="1"/>
  <c r="B252" i="1"/>
  <c r="B249" i="1"/>
  <c r="B246" i="1"/>
  <c r="B243" i="1"/>
  <c r="B240" i="1"/>
  <c r="B237" i="1"/>
  <c r="B234" i="1"/>
  <c r="B231" i="1"/>
  <c r="B228" i="1"/>
  <c r="B225" i="1"/>
  <c r="B222" i="1"/>
  <c r="B219" i="1"/>
  <c r="B216" i="1"/>
  <c r="B213" i="1"/>
  <c r="B210" i="1"/>
  <c r="B207" i="1"/>
  <c r="B39" i="1"/>
  <c r="B153" i="2"/>
  <c r="B150" i="2"/>
  <c r="B6" i="2"/>
  <c r="B9" i="2" s="1"/>
  <c r="B12" i="2" s="1"/>
  <c r="D22" i="4"/>
  <c r="F22" i="4" s="1"/>
  <c r="D33" i="4"/>
  <c r="D38" i="4" s="1"/>
  <c r="D30" i="4"/>
  <c r="C22" i="4"/>
  <c r="D9" i="4"/>
  <c r="D18" i="4" s="1"/>
  <c r="C4" i="6"/>
  <c r="C3" i="6"/>
  <c r="C2" i="6"/>
  <c r="B6" i="1"/>
  <c r="B9" i="1" s="1"/>
  <c r="B12" i="1" s="1"/>
  <c r="B15" i="1" s="1"/>
  <c r="B18" i="1" s="1"/>
  <c r="B21" i="1" s="1"/>
  <c r="B24" i="1" s="1"/>
  <c r="B27" i="1" s="1"/>
  <c r="B30" i="1" s="1"/>
  <c r="B33" i="1" l="1"/>
  <c r="B36" i="1" s="1"/>
  <c r="B42" i="1" s="1"/>
  <c r="B45" i="1" s="1"/>
  <c r="B48" i="1"/>
  <c r="B51" i="1" s="1"/>
  <c r="B54" i="1" s="1"/>
  <c r="B57" i="1" s="1"/>
  <c r="B60" i="1" s="1"/>
  <c r="B63" i="1" s="1"/>
  <c r="B66" i="1" s="1"/>
  <c r="B69" i="1" s="1"/>
  <c r="B75" i="1" s="1"/>
  <c r="B78" i="1" s="1"/>
  <c r="B81" i="1" s="1"/>
  <c r="B84" i="1" s="1"/>
  <c r="B87" i="1" s="1"/>
  <c r="B90" i="1" s="1"/>
  <c r="B93" i="1" s="1"/>
  <c r="B96" i="1" s="1"/>
  <c r="B99" i="1" s="1"/>
  <c r="B102" i="1" s="1"/>
  <c r="B105" i="1" s="1"/>
  <c r="B108" i="1" s="1"/>
  <c r="B111" i="1" s="1"/>
  <c r="B114" i="1" s="1"/>
  <c r="B117" i="1" s="1"/>
  <c r="B120" i="1" s="1"/>
  <c r="B123" i="1" s="1"/>
  <c r="B126" i="1" s="1"/>
  <c r="B129" i="1" s="1"/>
  <c r="B132" i="1" s="1"/>
  <c r="B135" i="1" s="1"/>
  <c r="B138" i="1" s="1"/>
  <c r="B141" i="1" s="1"/>
  <c r="B144" i="1" s="1"/>
  <c r="B147" i="1" s="1"/>
  <c r="B150" i="1" s="1"/>
  <c r="B153" i="1" s="1"/>
  <c r="B156" i="1" s="1"/>
  <c r="B159" i="1" s="1"/>
  <c r="B162" i="1" s="1"/>
  <c r="B165" i="1" s="1"/>
  <c r="B168" i="1" s="1"/>
  <c r="B171" i="1" s="1"/>
  <c r="B174" i="1" s="1"/>
  <c r="B177" i="1" s="1"/>
  <c r="B180" i="1" s="1"/>
  <c r="B183" i="1" s="1"/>
  <c r="B186" i="1" s="1"/>
  <c r="B189" i="1" s="1"/>
  <c r="B192" i="1" s="1"/>
  <c r="B195" i="1" s="1"/>
  <c r="B198" i="1" s="1"/>
  <c r="B201" i="1" s="1"/>
  <c r="B204" i="1" s="1"/>
  <c r="B15" i="2"/>
  <c r="B18" i="2" s="1"/>
  <c r="B21" i="2" s="1"/>
  <c r="D23" i="4"/>
  <c r="D24" i="4" s="1"/>
  <c r="D39" i="4"/>
  <c r="D42" i="4" s="1"/>
  <c r="B72" i="1" l="1"/>
  <c r="B24" i="2"/>
  <c r="B27" i="2" s="1"/>
  <c r="B30" i="2" s="1"/>
  <c r="B33" i="2" s="1"/>
  <c r="B36" i="2" s="1"/>
  <c r="B39" i="2" s="1"/>
  <c r="B42" i="2" s="1"/>
  <c r="B45" i="2" s="1"/>
  <c r="B48" i="2" s="1"/>
  <c r="B51" i="2" l="1"/>
  <c r="B54" i="2" s="1"/>
  <c r="B57" i="2" s="1"/>
  <c r="B60" i="2" s="1"/>
  <c r="B63" i="2" l="1"/>
  <c r="B66" i="2" s="1"/>
  <c r="B69" i="2" s="1"/>
  <c r="B72" i="2" s="1"/>
  <c r="B75" i="2" s="1"/>
  <c r="B78" i="2" s="1"/>
  <c r="B81" i="2" s="1"/>
  <c r="B84" i="2" s="1"/>
  <c r="B87" i="2" s="1"/>
  <c r="B90" i="2" s="1"/>
  <c r="B93" i="2" s="1"/>
  <c r="B96" i="2" s="1"/>
  <c r="B99" i="2" s="1"/>
  <c r="B102" i="2" s="1"/>
  <c r="B105" i="2" s="1"/>
  <c r="B108" i="2" s="1"/>
  <c r="B111" i="2" l="1"/>
  <c r="B114" i="2" s="1"/>
  <c r="B117" i="2" s="1"/>
  <c r="B126" i="2"/>
  <c r="B132" i="2" l="1"/>
  <c r="B129" i="2"/>
  <c r="B120" i="2"/>
  <c r="B135" i="2"/>
  <c r="B123" i="2" l="1"/>
  <c r="B141" i="2" s="1"/>
  <c r="B144" i="2" s="1"/>
  <c r="B147" i="2" s="1"/>
  <c r="B138" i="2"/>
</calcChain>
</file>

<file path=xl/sharedStrings.xml><?xml version="1.0" encoding="utf-8"?>
<sst xmlns="http://schemas.openxmlformats.org/spreadsheetml/2006/main" count="1257" uniqueCount="1208">
  <si>
    <t>SN</t>
  </si>
  <si>
    <t>Questions</t>
  </si>
  <si>
    <t>What is Corporate Tax?</t>
  </si>
  <si>
    <t>Who will be required to register for UAE Corporate Tax?</t>
  </si>
  <si>
    <t>Is there a registration threshold for UAE Corporate Tax?</t>
  </si>
  <si>
    <t>Will UAE CT replace VAT in the UAE?</t>
  </si>
  <si>
    <t>Will UAE CT replace Excise Tax in the UAE?</t>
  </si>
  <si>
    <t>What standards must be used to prepare financial statements?</t>
  </si>
  <si>
    <t>When will the UAE CT regime become Applicable?</t>
  </si>
  <si>
    <t>What are the UAE CT rates?</t>
  </si>
  <si>
    <t>Will Individual persons be subject to UAE CT?</t>
  </si>
  <si>
    <t>Will small businesses be given any UAE Corporate Tax relief?</t>
  </si>
  <si>
    <t>What is the Free Zone Corporate Tax regime?</t>
  </si>
  <si>
    <t>Who is a Qualifying Free Zone Person?</t>
  </si>
  <si>
    <t>What are Qualifying Activities?</t>
  </si>
  <si>
    <t>What are Excluded Activities?</t>
  </si>
  <si>
    <t>What are transfer pricing rules?</t>
  </si>
  <si>
    <t>Will transfer pricing rules apply to both domestic and cross-border transactions?</t>
  </si>
  <si>
    <t>Who are Connected Persons?</t>
  </si>
  <si>
    <t>Corporate tax is a direct tax imposed on the net income or profit of a company. In the United Arab Emirates, federal corporate tax was introduced on June 1, 2023, applying to the income of businesses operating in the country. This tax is paid by business person based on their taxable income, which is the adjusted net profit after accounting for allowable deductions.</t>
  </si>
  <si>
    <t>For juridical persons (like corporations and LLCs), there is no turnover threshold for registration. These entities must register for Corporate Tax regardless of their income level.
For natural persons (sole proprietors), registration for Corporate Tax is mandatory only if their business turnover exceeds AED 1 million in a calendar year (based on the Gregorian calendar). If their turnover is below AED 1 million, they are not required to register.</t>
  </si>
  <si>
    <t>No, Corporate tax and VAT are two different types of taxes. Both will continue to apply in the UAE.</t>
  </si>
  <si>
    <t>No, CT and Excise Tax are two different types of taxes. Both will continue to apply in the UAE.</t>
  </si>
  <si>
    <t>For preparing financial statements for Corporate Tax purposes in the UAE, businesses must use International Financial Reporting Standards (IFRS). However, if the taxable person has revenue of AED 50,000,000 or less in the relevant tax period, they can use IFRS for Small and Medium-sized Entities (IFRS for SMEs). These standards ensure consistency and transparency in financial reporting for tax compliance.</t>
  </si>
  <si>
    <t>For natural persons (sole proprietors), registration for Corporate Tax is mandatory only if their business turnover exceeds AED 1 million in a calendar year (based on the Gregorian calendar). If their turnover is below AED 1 million, they are not required to register.</t>
  </si>
  <si>
    <t>The Free Zone Corporate Tax regime allows businesses operating in certain free zones in the UAE to benefit from a 0% corporate tax rate on their qualifying income, as long as they meet certain conditions. This tax benefit is available for a set period, which can be renewed based on the specific free zone’s rules.</t>
  </si>
  <si>
    <t xml:space="preserve">Qualifying Income includes income derived from transactions with Non-Free Zone 
Persons only in respect of Qualifying Activities.56 These activities are defined in 
Ministerial Decision No. 139 of 2023, and include:57 
• Manufacturing of goods or materials; 
• Processing of goods or materials; 
• Holding of shares and other securities; 
• Ownership, management and operation of Ships; 
• Reinsurance services subject to the regulatory oversight of the relevant 
competent authority in the UAE; 
• Fund management services subject to the regulatory oversight by the relevant 
competent authority in the UAE; 
• Wealth and investment management services subject to the regulatory 
oversight by the relevant competent authority in the UAE; 
• Headquarter services to Related Parties; 
• Treasury and financing services to Related Parties; 
• Financing and leasing of Aircraft, including engines and rotable components; 
• Distribution of goods or materials in or from a Designated Zone to a customer 
that resells such goods or materials, or parts thereof or processes or alters such 
goods or materials or parts thereof for the purposes of sale or resale; 
• Logistics services; and 
• Any ancillary activities (which serve no independent function) to the above 
activities.    </t>
  </si>
  <si>
    <t>What are the benefits of Small Business Relief?</t>
  </si>
  <si>
    <t>Are there any restrictions on electing for Small Business Relief?</t>
  </si>
  <si>
    <t>Is small Business Relief applicable for Juridical Person as well?</t>
  </si>
  <si>
    <t>Yes. Any person either natural person or juridical person can be eligible for availaing small business relief provided other conditions are fulfilled.</t>
  </si>
  <si>
    <t>Does person electing for Small Business Relief requires to comply with Arm's Length principle?</t>
  </si>
  <si>
    <t>Yes, even though businesses don’t need to keep transfer pricing documentation, all transactions with related parties (like business partners, family members, or connected companies) must still be done at a fair market price — this is called the arm’s length price. This ensures that the prices of such transactions are similar to what they would be if the parties were not connected.</t>
  </si>
  <si>
    <t>If a business qualifies for Small Business Relief in one year but later becomes ineligible because its turnover exceeds AED 3,000,000, can it claim the relief again in future years if its turnover falls back below AED 3,000,000?</t>
  </si>
  <si>
    <t>To elect for Small Business Relief, a business must have revenue of AED 3,000,000 or less for the current and all previous tax periods. If the business's revenue exceeds AED 3,000,000 in any tax period, it will no longer be eligible for Small Business Relief, even if its revenue falls below AED 3,000,000 in future tax periods. Once a business exceeds the threshold, it cannot claim the relief again.</t>
  </si>
  <si>
    <t xml:space="preserve">Yes, following person arenot eligible for small business relief:
1. Qualifying Free Zone Persons and 
2. Members of a multinational group with consolidated group revenue of more than AED 3.15 billion even if the contituent entity (member  of MNE) in UAE has turnover is equal to or less than AED 3,000,000. </t>
  </si>
  <si>
    <t>Is artificial separation of company into multiple companies to avail the threshold benefit allowed.</t>
  </si>
  <si>
    <t>Where the FTA establishes that artificial separation has taken place, the Person will have to repay any unpaid Corporate Tax and any penalties that may be charged</t>
  </si>
  <si>
    <t>By when can a business benefit from Small Business Relief, and what happens after that period?</t>
  </si>
  <si>
    <t>This relief is available for tax periods ending on or before December 31, 2026. If a business qualifies, it won't have to pay corporate tax on its income up to AED 375,000 (which would normally be taxed at 0%) and will avoid the 9% tax on profits above that amount. The amount of tax relief a business gets depends on its profitability. However, after December 31, 2026, the business can no longer benefit from this relief.</t>
  </si>
  <si>
    <t>Key benefits of Small Business Relief for eligible businesses in the UAE:
1. No Corporate Tax Payment: Businesses with revenue of AED 3,000,000 or less are treated as having no taxable income, meaning they don’t have to calculate or pay corporate tax for that period.
2. Simplified Compliance: Eligible businesses do not need to file a full tax return, reducing the complexity and administrative costs of tax compliance.
3. Carry Forward of Losses: Even if a business benefits from small business relief, they can still carry forward any unutilized tax losses and disallowed net interest expenditure from previous periods (period before the period of small business releif) to be used in future tax periods.
4. No Transfer Pricing Documentation Requirement: Businesses benefiting from small business relief are exempt from maintaining transfer pricing documentation, though they still need to apply the arm’s length principle for transactions.
5. Reduced Compliance Costs: Small business relief reduces the overall compliance burden for small businesses, allowing them to focus more on growing their operations rather than dealing with tax complexities.</t>
  </si>
  <si>
    <t>How to elect for Small Business Relief?</t>
  </si>
  <si>
    <t>To benefit from Small Business Relief, eligible businesses must first register for Corporate Tax. After registration, they need to elect for the relief in their Tax Return for each tax period they wish to claim it. This election must be made each time a Tax Return is filed for the relief to apply.
For businesses navigating the complexities of Corporate Tax law and claiming Small Business Relief, Golden Fortune Corporate Services LLC can assist you in understanding the rules and ensuring you claim your rightful relief.</t>
  </si>
  <si>
    <t>Is small business relief applicable for non resident person in UAE?</t>
  </si>
  <si>
    <t>What income of natural person will not be subject of Corporate Tax in UAE?</t>
  </si>
  <si>
    <t>Any income other than income from business or business activities will not be subject to CT law. Following three sources shall be regarded as being derived form Buisness or Business Activities :
1. Wages or Salary;
2. Personal Investment Income; and
3. Real Estate Investment Income</t>
  </si>
  <si>
    <t>Can Free Zone businesses benefit from Small Business Relief?</t>
  </si>
  <si>
    <t xml:space="preserve"> Free Zone Persons are businesses registered in a free zone and considered resident for Corporate Tax purposes. These businesses may qualify for Small Business Relief if their revenue is AED 3,000,000 or less. However, businesses that are Qualifying Free Zone Persons (those meeting certain specific criteria) cannot claim Small Business Relief.
Also QFZP who have elected to be subject to Corporate Tax under Article 19 are also eligible for Small business releif as they are also normal Free Zone Person.</t>
  </si>
  <si>
    <t>What accounting standards can a business use to calculate revenue for Small Business Relief eligibility?</t>
  </si>
  <si>
    <t>How does Exempt Income affect businesses claiming Small Business Relief?</t>
  </si>
  <si>
    <t>Exempt Income includes dividends, profit distributions from UAE or foreign businesses, and income from foreign permanent establishments, which are not taxed when calculating taxable income. However, businesses electing for Small Business Relief must include all income, even exempt income, when calculating their revenue for eligibility purposes.</t>
  </si>
  <si>
    <t>What documents should a business keep to claim Small Business Relief and meet the Corporate Tax record-keeping requirements?</t>
  </si>
  <si>
    <t>Businesses must keep records and documents to prove the information in their tax return is accurate and to show their taxable income. For businesses claiming Small Business Relief, they need to show evidence that their revenue stayed below AED 3,000,000. While there's no specific list of documents to keep, they should have records that can support their income claims and be ready for review by the FTA. These records don’t have to be in their original form and can be stored electronically, but they must be easily accessible if the FTA asks for them.
Inclusive List of Documents for Small Business Relief:
1. Bank statements
2. Sales ledgers
3. Invoices or receipts (including till rolls)
4. Order records and delivery notes
5. Daily earnings records
6. Business correspondence (related to income)
7. Electronic copies of paper documents (if applicable)
These documents help prove your revenue and support your claim for Small Business Relief.</t>
  </si>
  <si>
    <t>How long do businesses need to keep their records, and when does the seven-year period start?</t>
  </si>
  <si>
    <t>Businesses must keep their records for seven years after the end of the tax period they relate to, not the year they were created. For example, if an invoice is created in one year but paid in the next, the seven-year period starts from the end of the year the invoice was paid, not when it was created. This is important so that the FTA can access records for any future checks or audits.</t>
  </si>
  <si>
    <t>Transfer Pricing (TP) Guidelines refer to rules that ensure transactions between related businesses (such as parent and subsidiary companies) are priced fairly, as if they were between unrelated parties. The aim is to prevent businesses from setting prices that shift profits to lower-tax jurisdictions, reducing their tax obligations.
In the UAE, the Transfer Pricing (TP) guidelines are part of the Corporate Tax law and are designed to ensure that transactions between related parties are priced according to the arm's length principle (i.e., prices should be similar to those charged between independent companies in the open market).
Requirements in the UAE:
1. Arm's Length Principle: All related-party transactions must be priced as though they were between independent entities, ensuring fair market value.
2. Documentation: Businesses must maintain transfer pricing documentation to support their compliance with the arm's length principle. This includes details of the pricing methods used and evidence that the transactions comply with the guidelines.
3. Local File and Master File:
Local File: Contains detailed information about the local business’s operations, related-party transactions, and the pricing methods applied.
Master File: Contains more general information about the multinational group, including the group’s structure, financial data, and global operations.
4. Country-by-Country Reporting: Multinational companies with a group revenue of over AED 3.15 billion must prepare and submit a Country-by-Country report, which provides an overview of global allocations of income, taxes, and business activity.
Failure to comply with the TP guidelines can lead to penalties, audits, or adjustments by the tax authorities.</t>
  </si>
  <si>
    <t>Yes, transfer pricing rules in the UAE apply to both domestic and cross-border transactions between related parties. This means that even transactions between companies within the UAE (domestic) must adhere to the arm's length principle, just like transactions between UAE-based businesses and those in other countries (cross-border).</t>
  </si>
  <si>
    <t>What are related parties in the context of transfer pricing and corporate tax?</t>
  </si>
  <si>
    <t>Connected persons include owners, directors, or related parties of a business. Payments to these individuals are tax-deductible only if they align with the market value of the service or benefit provided and are for business purposes. Publicly traded companies and regulated entities are exempt from this rule.
Payments or benefits provided by a business to its connected persons (such as owners, directors, or family members) can only be deducted for tax purposes if they reflect the market value of the service or benefit provided. This means the payment must be reasonable and made strictly for the business. To ensure fairness, the arm's length principle should be used to determine the market value. This rule does not apply to publicly traded companies or businesses under specific regulatory oversight in the UAE.</t>
  </si>
  <si>
    <t>Is there any relief or exemption from Transfer Pricing documentation requirements in the UAE?</t>
  </si>
  <si>
    <t>Yes, there are reliefs or exemptions for certain businesses from the full Transfer Pricing (TP) documentation requirements.
Revenue Below AED 200,000,000: If a business's revenue is below AED 200 million, it does not need to prepare a master file or local file.
Multinational Enterprises (MNE): If part of a multinational group, the group must have total consolidated revenue of less than AED 3,150,000,000 for the exemption.
However, even if these exemptions apply, businesses may still need to disclose transfer pricing information in their tax return and provide evidence that their transactions with related parties are at arm's length when requested by the FTA.</t>
  </si>
  <si>
    <t>What is taxable Income?</t>
  </si>
  <si>
    <t>Taxable Income refers to the income of a business that is subject to tax after adjustments, such as allowable deductions and exemptions, are made. It is the income that remains after subtracting costs, expenses, and losses from a company’s gross income.</t>
  </si>
  <si>
    <t>How do we calculate taxable income for the purpose of Corporate Tax?</t>
  </si>
  <si>
    <t>What is Corporate Tax Return? What is the due date of filing Corproate Tax Return for FY ending 31st December, 204?</t>
  </si>
  <si>
    <t>A corporate tax return is a document that businesses are required to submit to the tax authorities (such as the FTA in the UAE) to report their financial information and calculate the amount of tax they owe. The return includes details like the business's accounting income, adjustments for exemptions, deductions, or reliefs claimed, and other relevant financial information. In the UAE, it must be submitted within 9 months after the end of each tax period.
Taxable Persons must submit a Tax Return to the FTA within 9 months after the end of each Tax Period. The Tax Return is self-assessed, meaning businesses must report their Accounting Income and include any relevant adjustments, such as exemptions or reliefs claimed.</t>
  </si>
  <si>
    <t>How is tax period idendified?</t>
  </si>
  <si>
    <t>To compute Corporate Tax liabilities for the first tax period, taxable persons must prepare both an opening and closing balance sheet, including adjustments for intangible assets, immovable property, and financial assets. Transitional elections must be made in the first tax return, and these decisions are typically irreversible. The tax period in the UAE is typically aligned with the financial year of the business, and the first tax period starts when the business becomes subject to corporate tax.
Tax period in the UAE refers to the period for which tax is calculated, typically aligned with the business’s financial year.</t>
  </si>
  <si>
    <t>What is the due date of payment of Corporate Tax to FTA?</t>
  </si>
  <si>
    <t>Who is Federal Tax Authority (FTA)?</t>
  </si>
  <si>
    <t>The Federal Tax Authority (FTA) in the UAE is the government body responsible for managing taxes, ensuring compliance, and collecting tax payments from businesses and individuals.</t>
  </si>
  <si>
    <t>Taxable Persons must pay Corporate Tax and file their Tax Return within 9 months after the end of the Tax Period. For example, if the Financial Year ends on 31 December, the due date for filing and payment is 30 September the following year.
Penalties for late payment:
AED 500 for each month (or part of a month) of delay during the first 12 months.
AED 1,000 for each month (or part of a month) of delay from the 13th month onwards.</t>
  </si>
  <si>
    <t>I am no longer conducting a Business, do I have to file a UAE Corporate Tax Return?</t>
  </si>
  <si>
    <t>Yes, you must still file a Corporate Tax Return if you have discontinued your operations. You also need to submit a Tax Deregistration application with the FTA. Deregistration will only occur once all Corporate Tax liabilities, penalties, and returns have been filed. Failure to submit the application within 3 months of ceasing operations will result in penalties.</t>
  </si>
  <si>
    <t>What is the penalty for failing in filing deregistration under CT Law?</t>
  </si>
  <si>
    <t>If you fail to file a Tax Deregistration application within 3 months of ceasing operations, you will face a penalty of AED 1,000. Additionally, a further penalty of AED 1,000 will be applied for each subsequent month of delay, up to a maximum of AED 10,000.</t>
  </si>
  <si>
    <t>What are the elections that can be made at the time of filing CT returns?</t>
  </si>
  <si>
    <t xml:space="preserve">Here are the elections that can be made by Taxable Persons when filing their Corporate Tax Return:
1. Small Business Relief
2. Exemption for Foreign Permanent Establishment Income
3. Account for Gains and Losses on a Realisation Basis
4. Corporate Tax at the General Rate for Qualifying Free Zone Persons
5. Relief for Transfers in a Qualifying Group
6. Business Restructuring Relief
7. Transitional Relief
</t>
  </si>
  <si>
    <t>What provisions under the UAE Corporate Tax Law require Taxable Persons to make an application to the FTA?</t>
  </si>
  <si>
    <t>What is difference between elections and applications?</t>
  </si>
  <si>
    <t>The key difference between elections and applications under the UAE Corporate Tax Law is:
1. Elections:
No approval needed from the FTA.
Taxable Persons can unilaterally decide to apply certain provisions by simply informing the FTA.
The election becomes effective once the Taxable Person informs the FTA.
Examples: Small business relief, foreign permanent establishment income exemption, or business restructuring relief.
2. Applications:
Approval is required from the FTA.
Taxable Persons must apply and demonstrate they meet necessary criteria for the provision to be granted.
The provision will only take effect once the FTA approves the application.
Examples: Exemption for public/private pension funds, formation or changes in a Tax Group, or requesting clarification from the FTA.</t>
  </si>
  <si>
    <t>Taxable Persons must make an application to the FTA for the following provisions under the UAE Corporate Tax Law:
1. Exemption for public or private pension funds
2. Exemption for juridical persons wholly owned by exempt persons
3. Clarification requests from the FTA
4. Formation or changes in a Tax Group
5. Deregistration from Corporate Tax
6. Changing Tax Periods</t>
  </si>
  <si>
    <t>Small business relief in the UAE reduces the Corporate Tax burden and compliance costs for eligible businesses. To qualify, a taxable person must have revenue of AED 3,000,000 or less in a all relevant tax period (ending on or before 31 December 2026). Eligible businesses can choose to be treated as having no taxable income for the period, meaning they don’t need to calculate taxable income or file a full tax return.</t>
  </si>
  <si>
    <t>Businesses electing for Small Business Relief and with revenue under AED 3,000,000 can prepare financial statements using either IFRS or the Cash Basis of Accounting. Revenue includes all income, not just from sales, and must be calculated based on applicable accounting standards. The FTA may challenge unreasonable outcomes.
Also, VAT charged on sales should not be included in revenue</t>
  </si>
  <si>
    <t>A Qualifying Free Zone Person is a business operating in a UAE free zone that meets specific conditions to benefit from a 0% corporate tax rate on its qualifying income. To be considered a Qualifying Free Zone Person, the business must:
1. Earn qualifying income from relevant activities or transactions.
2. Maintain adequate substance in the UAE, meaning the business must have a real, active presence (e.g., office space, employees, etc.).
3. Meet the de minimis requirement, which ensures that the business's activities are substantial enough to qualify.
4. Not elect to be subject to the standard corporate tax.
5. Comply with transfer pricing rules and maintain the required documentation.
6. Prepare and maintain audited financial statements for tax purposes.
These conditions ensure that the business is genuinely operating in the free zone and not just using the location for tax advantages.</t>
  </si>
  <si>
    <t>Qualifying Income refers to income earned from activities that meet the requirements for the 0% corporate tax rate in a free zone. However, some types of income are excluded from this benefit. These Excluded Activities include:
1. Transactions with individuals (except for certain qualifying business activities).
2. Banking, insurance, finance, and leasing activities that are regulated by UAE authorities.
3. Owning or using property in the UAE, except for commercial property in a free zone, and only if the property is used in business with other free zone companies.
4. Owning or using intellectual property (like patents or trademarks).
5. Supporting activities that are directly linked to the excluded activities above.
Basically, if your income comes from these excluded activities, it won't qualify for the 0% corporate tax rate.</t>
  </si>
  <si>
    <t>Calculating Taxable Income involves two steps:
Step 1- Determine Accounting Income: Based on financial statements prepared using UAE-recognized accounting standards (IFRS or IFRS for SMEs). Free Zone Persons and businesses with revenue over AED 50 million must maintain audited financial statements.
Step 2 - Apply Adjustments: Adjust the accounting income to calculate the final taxable income amount.</t>
  </si>
  <si>
    <t>How does Golden Forturn Corporate Services helps in filing returns and saving taxes?</t>
  </si>
  <si>
    <t xml:space="preserve">Golden Fortune helps businesses in the UAE with filing Corporate Tax returns and saving taxes through a comprehensive, strategic approach. Here's how:
1. Accurate Tax Return Filing
Golden Fortune ensures that your Corporate Tax return is filed accurately and on time, minimizing the risk of errors or penalties. Our Chartered Accountants are experts in the UAE Corporate Tax Law, ensuring your return reflects all necessary information, including accounting income, adjustments, and exemptions.
2. Tax Optimization and Savings
Golden Fortune helps identify available tax exemptions and reliefs that can reduce your tax liability. For example:
- Small business relief
- Exemption for foreign permanent establishments
- Capital gains relief for property and intangible assets
- Tax relief for qualifying Free Zone companies
- By analyzing your business structure and activities, we ensure you are taking full advantage of these provisions to minimize your tax burden.
3. Tax Planning Strategies
We work with you to develop tax-efficient strategies that align with your long-term business goals. Our experts provide proactive advice on optimizing your tax position, whether that’s through tax group formation, tax relief on asset disposals, or restructuring your business for tax efficiency.
4. End-to-End Compliance Support
Golden Fortune helps you stay compliant by keeping track of all tax deadlines, maintaining accurate records, and ensuring all necessary documents are prepared. We handle the complex aspects of filing your tax returns, reducing the burden on your internal team.
5. Professional Guidance on Exemptions and Elections
We provide expert advice on elections you can make, such as opting for the small business relief or applying for the tax exemptions available to foreign entities or specific assets. Our team ensures you meet the requirements and file the appropriate forms for these elections, helping you save taxes.
6. Audit and Review of Financial Statements
Golden Fortune ensures that your financial statements are reviewed and properly audited (if applicable), helping to maintain tax-compliant records and prevent errors that could lead to additional taxes or penalties. This ensures all tax-deductible expenses are considered, reducing taxable income.
7. Handling Tax Disputes and Clarifications
If there are any issues or discrepancies regarding your tax filings, Golden Fortune provides support in handling tax disputes or clarifications with the Federal Tax Authority (FTA), ensuring that your business receives a fair assessment.
</t>
  </si>
  <si>
    <t>What Are the Benefits of Applying for a Tax Group in the UAE?</t>
  </si>
  <si>
    <t xml:space="preserve"> Forming a Tax Group in the UAE allows companies within the same corporate group to consolidate tax obligations, potentially resulting in tax benefits, such as simplified filings and reduced tax liabilities.
How Golden Fortune Can Help: Golden Fortune will assess whether forming a Tax Group is beneficial for your business and assist with the application process. Our Chartered Accountants help you form a Tax Group that is tax-efficient and compliant.</t>
  </si>
  <si>
    <t>What are the relevant adjustments to be made for calculating Taxable Income?</t>
  </si>
  <si>
    <t>The taxable income for a Tax Period will be the accounting net profit (or loss) of the business, after making adjustments for certain items specified in the Corporate Tax Law.
The accounting net profit (or loss) of a business is the amount reported in its financial statements prepared in accordance with internationally acceptable accounting standards.
Adjustments to the accounting net profit (or loss) will need to be made for the following items:
1. Unrealised gains and losses (subject to the election made regarding the application of the realisation principle);
2. Exempt income such as qualifying dividends and capital gains;
3. Income arising on intra-group transfers;
4. Deductions which are not allowable for tax purposes;
5. Transactions with Related Parties and Connected Persons;
6. Transfers of tax losses within the group where relevant;
7. Incentives or tax reliefs; and
8. Any other adjustments as specified by the Minister.</t>
  </si>
  <si>
    <t>Why Choose Golden Fortune for Corporate Tax Services?</t>
  </si>
  <si>
    <r>
      <t xml:space="preserve">With a team of </t>
    </r>
    <r>
      <rPr>
        <b/>
        <i/>
        <sz val="11"/>
        <color theme="1"/>
        <rFont val="Calibri"/>
        <family val="2"/>
        <scheme val="minor"/>
      </rPr>
      <t>Chartered Accountants</t>
    </r>
    <r>
      <rPr>
        <i/>
        <sz val="11"/>
        <color theme="1"/>
        <rFont val="Calibri"/>
        <family val="2"/>
        <scheme val="minor"/>
      </rPr>
      <t xml:space="preserve"> and </t>
    </r>
    <r>
      <rPr>
        <b/>
        <i/>
        <sz val="11"/>
        <color theme="1"/>
        <rFont val="Calibri"/>
        <family val="2"/>
        <scheme val="minor"/>
      </rPr>
      <t>tax professionals</t>
    </r>
    <r>
      <rPr>
        <i/>
        <sz val="11"/>
        <color theme="1"/>
        <rFont val="Calibri"/>
        <family val="2"/>
        <scheme val="minor"/>
      </rPr>
      <t xml:space="preserve"> well-versed in the latest </t>
    </r>
    <r>
      <rPr>
        <b/>
        <i/>
        <sz val="11"/>
        <color theme="1"/>
        <rFont val="Calibri"/>
        <family val="2"/>
        <scheme val="minor"/>
      </rPr>
      <t>UAE Corporate Tax laws</t>
    </r>
    <r>
      <rPr>
        <i/>
        <sz val="11"/>
        <color theme="1"/>
        <rFont val="Calibri"/>
        <family val="2"/>
        <scheme val="minor"/>
      </rPr>
      <t xml:space="preserve">, Golden Fortune delivers a tailored service that ensures </t>
    </r>
    <r>
      <rPr>
        <b/>
        <i/>
        <sz val="11"/>
        <color theme="1"/>
        <rFont val="Calibri"/>
        <family val="2"/>
        <scheme val="minor"/>
      </rPr>
      <t>maximum tax savings</t>
    </r>
    <r>
      <rPr>
        <i/>
        <sz val="11"/>
        <color theme="1"/>
        <rFont val="Calibri"/>
        <family val="2"/>
        <scheme val="minor"/>
      </rPr>
      <t xml:space="preserve"> and </t>
    </r>
    <r>
      <rPr>
        <b/>
        <i/>
        <sz val="11"/>
        <color theme="1"/>
        <rFont val="Calibri"/>
        <family val="2"/>
        <scheme val="minor"/>
      </rPr>
      <t>compliance</t>
    </r>
    <r>
      <rPr>
        <i/>
        <sz val="11"/>
        <color theme="1"/>
        <rFont val="Calibri"/>
        <family val="2"/>
        <scheme val="minor"/>
      </rPr>
      <t xml:space="preserve"> for your business. Our goal is to help you minimize your tax liabilities while ensuring accurate, timely tax filings, so you can focus on growing your business without tax concerns.</t>
    </r>
  </si>
  <si>
    <t>What should you do to avoid fines and penalties under the UAE Corporate Tax Law?</t>
  </si>
  <si>
    <t>1. File Tax Returns On Time
2. Make Timely Tax Payments
3. Ensure Accurate Tax Returns
4. Keep Records and Documentation
5. Deregister Timely If Business Ceases
6. Submit Relevant Documentation for Transfer Pricing
7. Respond to FTA Requests Promptly
8. Comply with Election and Application Rules
9. Cooperate During Tax Audits
10. Monitor Tax Changes and Updates</t>
  </si>
  <si>
    <t>Description of Violation</t>
  </si>
  <si>
    <t>Administrative Penalty Amount (AED)</t>
  </si>
  <si>
    <t>Deadline for Compliance</t>
  </si>
  <si>
    <t>Professional Assistance (Golden Fortune Corporate Service LLC)</t>
  </si>
  <si>
    <t>Remarks/Comments</t>
  </si>
  <si>
    <t>Failure to keep required records and information as per the Tax Procedures Law and Corporate Tax Law.</t>
  </si>
  <si>
    <t>AED 10,000 for each violation, AED 20,000 for repeated violation within 24 months</t>
  </si>
  <si>
    <t>Ongoing</t>
  </si>
  <si>
    <t>Golden Fortune can help establish and maintain proper records and ensure compliance with the law.</t>
  </si>
  <si>
    <t>Penalties for failing to keep accurate records can add up quickly. Keeping proper documentation is critical to avoid costly fines.</t>
  </si>
  <si>
    <t>Failure to submit data, records, and documents in Arabic when requested by the Authority.</t>
  </si>
  <si>
    <t>As requested by the Authority</t>
  </si>
  <si>
    <t>Golden Fortune Corporate Service LLC can ensure proper translations and document submissions in Arabic.</t>
  </si>
  <si>
    <t>Submitting documents in the wrong language can lead to fines. Accurate and timely translations can help avoid this issue.</t>
  </si>
  <si>
    <t>Failure to submit a deregistration application within the specified timeframe.</t>
  </si>
  <si>
    <t>AED 1,000 for late submission, AED 10,000 maximum for ongoing late submissions</t>
  </si>
  <si>
    <t>Within deadline</t>
  </si>
  <si>
    <t>Golden Fortune can assist in managing deregistration and meeting deadlines to avoid penalties.</t>
  </si>
  <si>
    <t>Timely deregistration is important for businesses no longer operating in the UAE. Late submission will result in fines.</t>
  </si>
  <si>
    <t>Failure to inform the Authority of any change that requires amendment of the tax record.</t>
  </si>
  <si>
    <t>AED 1,000 for each violation, AED 5,000 for repeated violations within 24 months</t>
  </si>
  <si>
    <t>Immediately after change</t>
  </si>
  <si>
    <t>Golden Fortune can ensure you notify the Authority of changes to avoid fines and confusion.</t>
  </si>
  <si>
    <t>Keeping tax records up to date ensures compliance with tax laws and avoids potential legal issues.</t>
  </si>
  <si>
    <t>Failure to notify the Authority of the appointment of a Legal Representative.</t>
  </si>
  <si>
    <t>Within specified timeframes</t>
  </si>
  <si>
    <t>Golden Fortune can assist with timely notifications and compliance regarding the Legal Representative.</t>
  </si>
  <si>
    <t>Failure to notify the appointment could result in penalties and complicate tax filings.</t>
  </si>
  <si>
    <t>Failure of the Legal Representative to file a tax return within specified timeframes.</t>
  </si>
  <si>
    <t>AED 500 per month for the first 12 months, AED 1,000 per month thereafter</t>
  </si>
  <si>
    <t>Golden Fortune ensures tax returns are filed accurately and on time, avoiding penalties.</t>
  </si>
  <si>
    <t>Delays in tax filings by the Legal Representative can result in increasing fines.</t>
  </si>
  <si>
    <t>Failure to submit a Tax Return within the timeframe specified in the Corporate Tax Law.</t>
  </si>
  <si>
    <t>Golden Fortune can ensure your tax returns are submitted on time, with a professional touch to avoid penalties.</t>
  </si>
  <si>
    <t>Failure to submit the tax return on time can incur significant monthly fines, which can quickly escalate.</t>
  </si>
  <si>
    <t>Failure to settle the payable tax amount.</t>
  </si>
  <si>
    <t>AED 14% per annum penalty, applied monthly for unsettled tax from the due date.</t>
  </si>
  <si>
    <t>Immediately after due date</t>
  </si>
  <si>
    <t>Golden Fortune can assist with tax payments and ensure timely settlement of taxes to avoid penalties.</t>
  </si>
  <si>
    <t>Late tax payments lead to accumulating penalties, making timely payments critical for avoiding excess costs.</t>
  </si>
  <si>
    <t>Submission of an incorrect Tax Return.</t>
  </si>
  <si>
    <t>AED 500 unless corrected before the deadline for tax return submission.</t>
  </si>
  <si>
    <t>Before the deadline</t>
  </si>
  <si>
    <t>Golden Fortune can help ensure the accuracy of tax returns and amend any errors before submission.</t>
  </si>
  <si>
    <t>Corrections must be made before the tax return deadline to avoid penalties.</t>
  </si>
  <si>
    <t>Submission of a Voluntary Disclosure regarding errors in the Tax Return, Tax Assessment, or Tax Refund.</t>
  </si>
  <si>
    <t>1% of the tax difference, applied monthly from the due date of the tax return until submission of the Voluntary Disclosure.</t>
  </si>
  <si>
    <t>Within the applicable timeframe</t>
  </si>
  <si>
    <t>Golden Fortune can assist with Voluntary Disclosures, minimizing penalties by ensuring timely submissions.</t>
  </si>
  <si>
    <t>Voluntary disclosure can reduce penalties if done promptly. Delays may lead to higher penalties.</t>
  </si>
  <si>
    <t>Failure to submit a Voluntary Disclosure before a Tax Audit notification.</t>
  </si>
  <si>
    <t>15% fixed penalty on tax difference, plus 1% per month until the voluntary disclosure is submitted.</t>
  </si>
  <si>
    <t>Before Tax Audit notification</t>
  </si>
  <si>
    <t>Golden Fortune can ensure voluntary disclosures are filed before the tax authority begins an audit.</t>
  </si>
  <si>
    <t>Filing late or failing to submit a Voluntary Disclosure after a Tax Audit notice can incur high penalties.</t>
  </si>
  <si>
    <t>Failure to facilitate a Tax Audit by the Tax Auditor, Legal Representative, or Tax Agent.</t>
  </si>
  <si>
    <t>Upon Tax Audit initiation</t>
  </si>
  <si>
    <t>Golden Fortune can help facilitate and ensure smooth cooperation during a tax audit.</t>
  </si>
  <si>
    <t>Failing to cooperate during a tax audit can lead to hefty fines. Professionals can guide you through the process and help you comply fully.</t>
  </si>
  <si>
    <t>Failure to submit or late submission of a declaration to the Authority as required by the Corporate Tax Law.</t>
  </si>
  <si>
    <t>AED 500 for each month for the first 12 months, AED 1,000 for each month thereafter.</t>
  </si>
  <si>
    <t>Golden Fortune ensures all required declarations are submitted on time, keeping you compliant.</t>
  </si>
  <si>
    <t>Failure to submit declarations on time can result in monthly penalties that add up quickly.</t>
  </si>
  <si>
    <t>Violation Number</t>
  </si>
  <si>
    <t>UAE Corporate Tax Violation and Penalty Summary</t>
  </si>
  <si>
    <t>Category</t>
  </si>
  <si>
    <t>Violation Description</t>
  </si>
  <si>
    <t>Penalty (AED)</t>
  </si>
  <si>
    <t>Record-Keeping &amp; Documentation</t>
  </si>
  <si>
    <t>1. Failure to keep required records and info as per the Tax Procedures Law and Corporate Tax Law.</t>
  </si>
  <si>
    <t>AED 10,000 per violation, AED 20,000 for repeated violations (within 24 months).</t>
  </si>
  <si>
    <t>2. Failure to submit records and documents in Arabic when requested by the Authority.</t>
  </si>
  <si>
    <t>Deregistration &amp; Tax Record Updates</t>
  </si>
  <si>
    <t>3. Failure to submit a deregistration application within the specified timeframe.</t>
  </si>
  <si>
    <t>AED 1,000 for late submission, AED 10,000 max if ongoing.</t>
  </si>
  <si>
    <t>4. Failure to inform the Authority about changes requiring amendment in tax records.</t>
  </si>
  <si>
    <t>AED 1,000 per violation, AED 5,000 for repeated violations (within 24 months).</t>
  </si>
  <si>
    <t>Legal Representative Compliance</t>
  </si>
  <si>
    <t>5. Failure to notify the Authority about the appointment of a Legal Representative.</t>
  </si>
  <si>
    <t>6. Failure of Legal Representative to file a tax return within the specified time.</t>
  </si>
  <si>
    <t>AED 500 per month for first 12 months, AED 1,000 per month thereafter.</t>
  </si>
  <si>
    <t>Tax Filing &amp; Payment</t>
  </si>
  <si>
    <t>7. Failure to submit a tax return within the specified timeframe.</t>
  </si>
  <si>
    <t>8. Failure to settle the payable tax.</t>
  </si>
  <si>
    <t>AED 14% per annum penalty, applied monthly.</t>
  </si>
  <si>
    <t>Incorrect Submissions</t>
  </si>
  <si>
    <t>9. Submission of an incorrect tax return.</t>
  </si>
  <si>
    <t>AED 500 unless corrected before the deadline.</t>
  </si>
  <si>
    <t>Voluntary Disclosure &amp; Amendments</t>
  </si>
  <si>
    <t>10. Voluntary disclosure submission for errors in tax return, tax assessment, or tax refund.</t>
  </si>
  <si>
    <t>1% of tax difference, applied monthly until disclosure submission.</t>
  </si>
  <si>
    <t>11. Failure to submit voluntary disclosure before a tax audit notification.</t>
  </si>
  <si>
    <t>15% penalty of tax difference, plus 1% monthly penalty until submission.</t>
  </si>
  <si>
    <t>Audit Facilitation</t>
  </si>
  <si>
    <t>12. Failure to facilitate a tax audit by tax agent or legal representative.</t>
  </si>
  <si>
    <t>Declarations &amp; Notices</t>
  </si>
  <si>
    <t>13. Failure to submit or late submission of required declarations to the Authority.</t>
  </si>
  <si>
    <t>The UAE CT regime will become effective for financial years starting on or after 1 June 2023.
Examples:
&gt; A business that has a financial year starting on 1 July 2023 and ending on 30 June 2024 will become subject to UAE CT from 1 July 2023 (which is the beginning of the first financial year that starts on or after 1 June 2023).
&gt; A business that has a financial year starting on 1 January 2023 and ending on 31 December 2023 will become subject to UAE CT from 1 January 2024 (which is the beginning of the first financial year that starts on or after 1 June 2023).</t>
  </si>
  <si>
    <t>All taxable persons must register for Corporate Tax with the Federal Tax Authority (FTA) and get a Tax Registration Number (TRN). Taxable persons include:
1. Juridical Persons: Companies like corporations or LLCs incorporated in the UAE, ( no turnover limit for CT registration.)
2. Natural Persons: Individuals who run a business and have sales over AED 1 million in a calendar year.
3. Other Persons: Non-residents earning income from the UAE, or non-resident companies owning property or having place of effective management in the UAE.</t>
  </si>
  <si>
    <t>What income of Resident Person and Non-Resident Person are Taxable in UAE?</t>
  </si>
  <si>
    <r>
      <t xml:space="preserve">In the UAE, resident persons (businesses or individuals with a UAE residence) are subject to Corporate Tax on their </t>
    </r>
    <r>
      <rPr>
        <b/>
        <i/>
        <sz val="11"/>
        <color theme="1"/>
        <rFont val="Aptos"/>
        <family val="2"/>
      </rPr>
      <t>global income</t>
    </r>
    <r>
      <rPr>
        <i/>
        <sz val="11"/>
        <color theme="1"/>
        <rFont val="Aptos"/>
        <family val="2"/>
      </rPr>
      <t>. This means that any profits earned both in the UAE and abroad are taxed. For instance, if a UAE-based company earns income from a foreign branch or subsidiary, it will still pay tax in the UAE. However, there are certain exemptions available, such as for dividends received from foreign subsidiaries or capital gains from the sale of qualifying assets. Resident companies may also benefit from double taxation treaties, which can help avoid being taxed twice on the same income.
On the other hand, non-resident persons (businesses or individuals without UAE residency) are only taxed on UAE-sourced income. This means that a foreign company or individual will only pay UAE Corporate Tax on the income it earns within the UAE, such as profits from local operations or property rentals. However, if a non-resident business has a permanent establishment (PE) in the UAE, it may still be subject to tax. Free zone companies and offshore entities may also benefit from tax exemptions, depending on their activities and location within the UAE.</t>
    </r>
  </si>
  <si>
    <t>Who is Juridical Person?</t>
  </si>
  <si>
    <t>A "juridical person" is an entity that is legally recognized and has its own legal identity, separate from its founders, owners, and directors. This includes companies like limited liability companies, foundations, joint stock companies, and other entities that are recognized under UAE laws, whether they are based on the UAE mainland or in Free Zones.
UAE branches of a company, whether domestic or foreign, are considered part of their parent company and are not treated as separate legal entities. They are extensions of the main office and do not have their own legal personality.</t>
  </si>
  <si>
    <t>Who is Natural Person?</t>
  </si>
  <si>
    <r>
      <rPr>
        <b/>
        <sz val="11"/>
        <color theme="1"/>
        <rFont val="Calibri"/>
        <family val="2"/>
        <scheme val="minor"/>
      </rPr>
      <t>A natural person</t>
    </r>
    <r>
      <rPr>
        <sz val="11"/>
        <color theme="1"/>
        <rFont val="Calibri"/>
        <family val="2"/>
        <scheme val="minor"/>
      </rPr>
      <t xml:space="preserve"> as any living human being, regardless of age, whether they live in the UAE or elsewhere.</t>
    </r>
  </si>
  <si>
    <t>When the natural Person will be subject to Corproate Tax in UAE?</t>
  </si>
  <si>
    <t>A natural person will only be subject to Corporate Tax if they are conducting a business or business activity within the UAE. This includes individuals who run sole establishments or are individual partners in unincorporated partnerships that operate a business in the UAE. According to the guide, the first potential Tax Period for a natural person involved in business activities will begin in the 2024 Gregorian calendar year.
No any other income of natural person is taxed in UAE. i.e. there is no any personal income tax or taxes in salary or other form of income from investment (uless it is in the nature of defined business).</t>
  </si>
  <si>
    <t xml:space="preserve">Total Entities Registered Under VAT </t>
  </si>
  <si>
    <t>Till Q3 2024</t>
  </si>
  <si>
    <t>Total VAT Group Registration</t>
  </si>
  <si>
    <t>Total Excise Registration</t>
  </si>
  <si>
    <t>Registrations</t>
  </si>
  <si>
    <t>Number</t>
  </si>
  <si>
    <t>Particulars</t>
  </si>
  <si>
    <t>Reasons</t>
  </si>
  <si>
    <t>Link</t>
  </si>
  <si>
    <t>Add Tax and Accounting Services Separately</t>
  </si>
  <si>
    <t xml:space="preserve"> Work on SEO --Best in Tax and Accounting Services </t>
  </si>
  <si>
    <t xml:space="preserve">Work on SEO Optimization -- so that the best registrar and corproate services </t>
  </si>
  <si>
    <t>Enable good reach when third search in google</t>
  </si>
  <si>
    <t>Accounting Assistance in Dubai | VAT Assistance in Dubai, UAE | Golden Fortune</t>
  </si>
  <si>
    <t>Language of Translation into Arabic also - if possible</t>
  </si>
  <si>
    <t>only in English, Russian and French and stying in UAE conversion in arabic would be more fruitful provided cost benefit analysis needs to be checked.</t>
  </si>
  <si>
    <t>It is prominenet service which can generate good revenue. It is different domain and not just support services. We can drive it independently and tailor our service focussed on Taxation and Accounting. Instead delete the blog segment (not needed on navbar)</t>
  </si>
  <si>
    <t>Use some realistic Photoes and not some models or fake photoes</t>
  </si>
  <si>
    <t>This does not create a trust amongst visitors. It should be more customized. (Dummy photoes does not help most often)</t>
  </si>
  <si>
    <t>Consultant In Dubai | Golden Fortune</t>
  </si>
  <si>
    <t>Write that we have served more than 1000 customer</t>
  </si>
  <si>
    <t>Because in 25 years of journey, setting only 100 customers does not seems to be a nice traction. Unless this information would attract some penalizing action by authority.</t>
  </si>
  <si>
    <t>Why Golden Fortune? Add ;</t>
  </si>
  <si>
    <t>How do you determine whether a juridical person has a “Business” that is within the scope of UAE CT?</t>
  </si>
  <si>
    <t>All activities undertaken by a juridical person will be deemed “business activities” and are within the scope of UAE CT, unless specifically exempted.</t>
  </si>
  <si>
    <t>Who is considered non-resident for UAE CT purposes?</t>
  </si>
  <si>
    <t>Under the Corporate Tax Law, a juridical person is considered a non-resident if it is incorporated in a foreign country and is effectively managed and controlled outside the UAE. A natural person is considered a non-resident for UAE CT purposes if he or she is not engaged in a taxable business or business activity in the UAE.</t>
  </si>
  <si>
    <t>What income is exempt from UAE CT?</t>
  </si>
  <si>
    <t>The following income is exempt from UAE CT:
1.	Dividends and other profit distributions received from UAE incorporated or resident legal persons;
2.	Dividends and other profit distributions received from a Participating Interest in a foreign juridical person (see further information below);
3.	Certain other income (e.g., capital gains, foreign exchange gains / losses and impairment gains or losses) from a Participating Interest (see further information below);
4.	Income from a foreign branch or permanent establishment where an election is made to claim the “Foreign Permanent Establishment” exemption; and
5.	Income earned by non-residents from the operation or leasing of aircrafts or ships in international transportation where certain conditions are met (see further information below).</t>
  </si>
  <si>
    <t>What is a Qualifying Group?</t>
  </si>
  <si>
    <t>A Qualifying Group exists where all of the following conditions are met:
●	The members are juridical persons which are UAE residents or non-resident persons that have a permanent establishment in the UAE;
●	Either owns 75% or more of the other, or a third party owns 75% or more of both entities;
●	Neither member is an Exempt Person; 
●	Neither member is a Qualifying Free Zone Person; and
●	Members prepare their financial statements using the same accounting standards, and have the same financial year.</t>
  </si>
  <si>
    <t>Can foreign entities be included in a Tax Group?</t>
  </si>
  <si>
    <t>No, unless the foreign entity is managed and controlled in the UAE and considered a UAE resident entity for UAE CT purposes. This is because only UAE resident juridical persons can form or be part of a Tax Group.</t>
  </si>
  <si>
    <t>When do I register for UAE Corporate Tax? (Due date of registration)</t>
  </si>
  <si>
    <t>14.Failure to obtain Corporate Tax Registration within due date</t>
  </si>
  <si>
    <t>Corproate Tax Registration</t>
  </si>
  <si>
    <t>Insipration - MICS</t>
  </si>
  <si>
    <t>Incomes</t>
  </si>
  <si>
    <t>Revenue:</t>
  </si>
  <si>
    <t>Other Incomes:</t>
  </si>
  <si>
    <t>Expenses</t>
  </si>
  <si>
    <t>Total Expenses (Excluding Depreciation, Amortization, and Interest):</t>
  </si>
  <si>
    <t>Depreciation and Amortization:</t>
  </si>
  <si>
    <t>Interest Expenditure (a):</t>
  </si>
  <si>
    <t>Interest Income (b):</t>
  </si>
  <si>
    <t>Adjustments for Exempt Incomes</t>
  </si>
  <si>
    <t>UAE Dividends and Profit Distributions:</t>
  </si>
  <si>
    <t>Foreign Dividends and Profit Distributions:</t>
  </si>
  <si>
    <t>Participation Gains or Losses:</t>
  </si>
  <si>
    <t>Other Exempt Incomes:</t>
  </si>
  <si>
    <t>Adjustment Non-Deductible Expenditures</t>
  </si>
  <si>
    <t>Entertainment Expenses:</t>
  </si>
  <si>
    <t>Non-deductible Entertainment Expenses:</t>
  </si>
  <si>
    <t>Fines and Penalties:</t>
  </si>
  <si>
    <t>Personal Expenses:</t>
  </si>
  <si>
    <t>Note: Entertainment expenditure includes expenses related to meals, accommodation, transportation, admission fees, as well as facilities and equipment used in connection with such entertainment, incurred for shareholders, business partners, customers, or suppliers.</t>
  </si>
  <si>
    <t>Donations/Grants to Non-Qualifying Entities:</t>
  </si>
  <si>
    <t>Total Non-Deductible Expenditures: 0.00</t>
  </si>
  <si>
    <t>Net Taxable Income:</t>
  </si>
  <si>
    <t>Computation of Income Tax</t>
  </si>
  <si>
    <t>Amount</t>
  </si>
  <si>
    <t xml:space="preserve">Total Incomes (A): </t>
  </si>
  <si>
    <t>EBITDA:</t>
  </si>
  <si>
    <t xml:space="preserve">Net Interest Expenses/Income (a-b): </t>
  </si>
  <si>
    <t>Net Profit/Loss Before Tax (A-B):</t>
  </si>
  <si>
    <t>Total Exempt Income:</t>
  </si>
  <si>
    <t>Tax Liability:</t>
  </si>
  <si>
    <t>Total Depreciation, Amortizationa nd Allowed Interest</t>
  </si>
  <si>
    <t>Interest Carried Forward</t>
  </si>
  <si>
    <r>
      <t xml:space="preserve">We provide expert services in </t>
    </r>
    <r>
      <rPr>
        <b/>
        <i/>
        <sz val="11"/>
        <color theme="1"/>
        <rFont val="Calibri"/>
        <family val="2"/>
        <scheme val="minor"/>
      </rPr>
      <t>accounting</t>
    </r>
    <r>
      <rPr>
        <i/>
        <sz val="11"/>
        <color theme="1"/>
        <rFont val="Calibri"/>
        <family val="2"/>
        <scheme val="minor"/>
      </rPr>
      <t xml:space="preserve">, </t>
    </r>
    <r>
      <rPr>
        <b/>
        <i/>
        <sz val="11"/>
        <color theme="1"/>
        <rFont val="Calibri"/>
        <family val="2"/>
        <scheme val="minor"/>
      </rPr>
      <t>financial reporting</t>
    </r>
    <r>
      <rPr>
        <i/>
        <sz val="11"/>
        <color theme="1"/>
        <rFont val="Calibri"/>
        <family val="2"/>
        <scheme val="minor"/>
      </rPr>
      <t xml:space="preserve">, </t>
    </r>
    <r>
      <rPr>
        <b/>
        <i/>
        <sz val="11"/>
        <color theme="1"/>
        <rFont val="Calibri"/>
        <family val="2"/>
        <scheme val="minor"/>
      </rPr>
      <t>tax registration</t>
    </r>
    <r>
      <rPr>
        <i/>
        <sz val="11"/>
        <color theme="1"/>
        <rFont val="Calibri"/>
        <family val="2"/>
        <scheme val="minor"/>
      </rPr>
      <t xml:space="preserve">, and </t>
    </r>
    <r>
      <rPr>
        <b/>
        <i/>
        <sz val="11"/>
        <color theme="1"/>
        <rFont val="Calibri"/>
        <family val="2"/>
        <scheme val="minor"/>
      </rPr>
      <t>tax filing</t>
    </r>
    <r>
      <rPr>
        <i/>
        <sz val="11"/>
        <color theme="1"/>
        <rFont val="Calibri"/>
        <family val="2"/>
        <scheme val="minor"/>
      </rPr>
      <t xml:space="preserve">. Our team, including </t>
    </r>
    <r>
      <rPr>
        <b/>
        <i/>
        <sz val="11"/>
        <color theme="1"/>
        <rFont val="Calibri"/>
        <family val="2"/>
        <scheme val="minor"/>
      </rPr>
      <t>Chartered Accountants</t>
    </r>
    <r>
      <rPr>
        <i/>
        <sz val="11"/>
        <color theme="1"/>
        <rFont val="Calibri"/>
        <family val="2"/>
        <scheme val="minor"/>
      </rPr>
      <t xml:space="preserve"> and tax professionals also helps with </t>
    </r>
    <r>
      <rPr>
        <b/>
        <i/>
        <sz val="11"/>
        <color theme="1"/>
        <rFont val="Calibri"/>
        <family val="2"/>
        <scheme val="minor"/>
      </rPr>
      <t>payment and refund claims</t>
    </r>
    <r>
      <rPr>
        <i/>
        <sz val="11"/>
        <color theme="1"/>
        <rFont val="Calibri"/>
        <family val="2"/>
        <scheme val="minor"/>
      </rPr>
      <t xml:space="preserve"> from tax authorities, ensuring smooth financial operations for your business. With our expertise, you can focus on growth while we manage the complexities.</t>
    </r>
  </si>
  <si>
    <t>How is Crypto Currency Mining is treated for VAT purpose?</t>
  </si>
  <si>
    <t>Cryptocurrency mining can be done for personal or others' accounts by offering excess computational power or data farms. Cryptocurrencies such as Bitcoin and Ethereum (Classic) are considered virtual assets.
Cryptocurrency mining for personal use is not subject to VAT, as it's not considered a taxable supply.
 However, if mining is done on behalf of another person (e.g., providing computational power), it qualifies as a taxable service. In such cases, the miner can recover input tax on expenses incurred for making taxable supplies, but not for personal mining activities. Only registered businesses mining on behalf of others can reclaim input tax related to their taxable services.</t>
  </si>
  <si>
    <t>Is Directorship service is subject to UAE VAT?</t>
  </si>
  <si>
    <t>- Director services performed for a government or private entity are excluded from UAE VAT.
- This exclusion applies to both resident and non-resident directors.
- Only services performed in an official director capacity are excluded; freelance services during board meetings are taxable.
- Non-resident directors’ services are also exempt, with no need for VAT registration or reverse charge application.
- Legal entities delegating director roles to natural persons are not exempt from VAT on services provided by the legal person itself.</t>
  </si>
  <si>
    <t>What is VAT?</t>
  </si>
  <si>
    <t>VAT (Value Added Tax) is a consumption tax levied on goods and services in the UAE.</t>
  </si>
  <si>
    <t>What is rate of VAT in UAE?</t>
  </si>
  <si>
    <r>
      <t>In the UAE, the standard VAT rate is</t>
    </r>
    <r>
      <rPr>
        <b/>
        <sz val="11"/>
        <color theme="1"/>
        <rFont val="Calibri"/>
        <family val="2"/>
        <scheme val="minor"/>
      </rPr>
      <t xml:space="preserve"> 5%</t>
    </r>
    <r>
      <rPr>
        <sz val="11"/>
        <color theme="1"/>
        <rFont val="Calibri"/>
        <family val="2"/>
        <scheme val="minor"/>
      </rPr>
      <t>. However, certain goods and services are either exempt from VAT or subject to a 0% VAT rate, such as exports and some international transport services. Specific sectors like healthcare, education, and certain financial services may also be exempt or zero-rated.</t>
    </r>
  </si>
  <si>
    <t>Do all businesses need to register for VAT in the UAE?</t>
  </si>
  <si>
    <t>No. Businesses with taxable supplies exceeding AED 375,000 must register, while those with taxable supplies between AED 187,500 and AED 375,000 can voluntarily register.</t>
  </si>
  <si>
    <t>What are zero rated supply?</t>
  </si>
  <si>
    <t>Zero-rated supplies in the UAE are goods and services that are taxable at a VAT rate of 0%. These supplies are still considered taxable but at a 0% rate, meaning businesses charge no VAT on the sale, yet can recover VAT on related expenses. Examples include:
- Exported goods and services
- International transport services
- Certain medical and educational services
- Certain agricultural and food items
Although no VAT is charged on these supplies, businesses making zero-rated supplies can reclaim input VAT incurred on their costs.</t>
  </si>
  <si>
    <t>The key difference between zero-rated and exempt supplies in the UAE:
Zero-rated supplies: Taxable at 0%, businesses charge no VAT but can recover input VAT on related expenses.
Exempt supplies: These are not subject to VAT, and businesses cannot reclaim input VAT on expenses related to these supplies.
Examples of zero-rated supplies include exported goods and specific services, while exempt supplies include financial services and residential properties.</t>
  </si>
  <si>
    <t>What is difference between zero rated supply and exempt supplies?</t>
  </si>
  <si>
    <t>What is a VAT return?</t>
  </si>
  <si>
    <t>A VAT return is a document that businesses must submit periodically to the tax authorities. It details the VAT collected on sales and the VAT paid on purchases. The difference between the two amounts determines whether a business owes VAT or is eligible for a refund. In the UAE, VAT returns are typically filed quarterly or annually, depending on the business’s turnover.</t>
  </si>
  <si>
    <t>How do I file my VAT returns in the UAE?</t>
  </si>
  <si>
    <t>VAT returns must be filed quarterly or annually, depending on your registration status. You will need to report your sales and purchases, including VAT charged and paid, and pay the difference to the UAE Federal Tax Authority.</t>
  </si>
  <si>
    <t>What expenses can I recover VAT on?</t>
  </si>
  <si>
    <t>You can reclaim VAT paid on business-related expenses, provided the expenses are necessary for business operations and you have valid tax invoices. However, personal expenses or VAT on entertainment costs may not be recoverable.</t>
  </si>
  <si>
    <t>What happens if my business misses a VAT filing deadline?</t>
  </si>
  <si>
    <t>Late filing or non-payment can result in penalties and fines, so it is important to file your VAT returns on time. If you miss a deadline, contact the Federal Tax Authority as soon as possible to resolve the issue.</t>
  </si>
  <si>
    <t xml:space="preserve">In the UAE, the VAT treatment of immovable property depends on the type of property and the nature of the sale:
Residential Property: Generally exempt from VAT unless the property is new and sold within three years of its construction. New residential properties are subject to VAT at 5%.
Commercial Property: Sales of commercial properties are subject to VAT at 5%, as these are treated as taxable supplies.
Leasing and Renting: Residential leasing is exempt, while commercial leasing is taxable at 5%.
This distinction is based on the VAT regulations and the specific conditions of the property sale.
</t>
  </si>
  <si>
    <t>Is VAT applicable in sale of immovable property?</t>
  </si>
  <si>
    <r>
      <t xml:space="preserve">In the UAE, the VAT treatment of immovable property depends on the type of property and the nature of the sale:
</t>
    </r>
    <r>
      <rPr>
        <b/>
        <sz val="11"/>
        <color theme="1"/>
        <rFont val="Calibri"/>
        <family val="2"/>
        <scheme val="minor"/>
      </rPr>
      <t>Residential Property:</t>
    </r>
    <r>
      <rPr>
        <sz val="11"/>
        <color theme="1"/>
        <rFont val="Calibri"/>
        <family val="2"/>
        <scheme val="minor"/>
      </rPr>
      <t xml:space="preserve"> Generally exempt from VAT unless the property is new and sold within three years of its construction. New residential properties are subject to VAT at 5%.
</t>
    </r>
    <r>
      <rPr>
        <b/>
        <sz val="11"/>
        <color theme="1"/>
        <rFont val="Calibri"/>
        <family val="2"/>
        <scheme val="minor"/>
      </rPr>
      <t>Commercial Property:</t>
    </r>
    <r>
      <rPr>
        <sz val="11"/>
        <color theme="1"/>
        <rFont val="Calibri"/>
        <family val="2"/>
        <scheme val="minor"/>
      </rPr>
      <t xml:space="preserve"> Sales of commercial properties are subject to VAT at 5%, as these are treated as taxable supplies.
</t>
    </r>
    <r>
      <rPr>
        <b/>
        <sz val="11"/>
        <color theme="1"/>
        <rFont val="Calibri"/>
        <family val="2"/>
        <scheme val="minor"/>
      </rPr>
      <t xml:space="preserve">Leasing and Renting: </t>
    </r>
    <r>
      <rPr>
        <sz val="11"/>
        <color theme="1"/>
        <rFont val="Calibri"/>
        <family val="2"/>
        <scheme val="minor"/>
      </rPr>
      <t xml:space="preserve">Residential leasing is exempt, while commercial leasing is taxable at 5%.
This distinction is based on the VAT regulations and the specific conditions of the property sale.
</t>
    </r>
  </si>
  <si>
    <t>Emirates</t>
  </si>
  <si>
    <t>Name of Designated Zones</t>
  </si>
  <si>
    <t>Abu Dhabi</t>
  </si>
  <si>
    <t>Free Trade Zone of Khlifa Port</t>
  </si>
  <si>
    <t>ADB Airport Free Zone</t>
  </si>
  <si>
    <t>Khalifa Industrial Zone</t>
  </si>
  <si>
    <t>Al Ain Internatinal Airport Free Zone</t>
  </si>
  <si>
    <t>Al Butain International Airport Free Zone</t>
  </si>
  <si>
    <t>Dubai</t>
  </si>
  <si>
    <t>Jable Ali Free Zone (NA)</t>
  </si>
  <si>
    <t>Dubai Cars and Automotve Zone</t>
  </si>
  <si>
    <t>DUCAMZ</t>
  </si>
  <si>
    <t>Dubai Textile City</t>
  </si>
  <si>
    <t>Free Zone Area in Al Quoz</t>
  </si>
  <si>
    <t>DAFZA Insutrial Park Free Zone - AL Qusais</t>
  </si>
  <si>
    <t>Dubai Aviation City</t>
  </si>
  <si>
    <t>Dubai Airport Free Zone Area (DAFZA)</t>
  </si>
  <si>
    <t>International Humanitarian City - Jabel Ali</t>
  </si>
  <si>
    <t>Dubai CommerCIty</t>
  </si>
  <si>
    <t>Sharjah</t>
  </si>
  <si>
    <t>Hamriyah Free Zone</t>
  </si>
  <si>
    <t>Sharjah Airport Internaional Free Zone</t>
  </si>
  <si>
    <t>Ajman</t>
  </si>
  <si>
    <t>Ajman Free Zone</t>
  </si>
  <si>
    <t>Umm AL Quwain</t>
  </si>
  <si>
    <t>Umm AL Quwain Free Trade Zone in Ahmed Bin Rashid Port</t>
  </si>
  <si>
    <t>Umm AL Quwain Free Trade Zone on Sheikh Mohammed Bin Zayed Road</t>
  </si>
  <si>
    <t>Ras AL Khaimah</t>
  </si>
  <si>
    <t>RAK Port Free Zone</t>
  </si>
  <si>
    <t>RAK Maritime City Free Zone</t>
  </si>
  <si>
    <t>RAK Airport Free Zone</t>
  </si>
  <si>
    <t>AL Hamra Industrial Zone Free Zone</t>
  </si>
  <si>
    <t>Al Ghail Industrial Zone - Free Zone</t>
  </si>
  <si>
    <t>AL Hulaila Inudstrial Zone - Free Zone</t>
  </si>
  <si>
    <t>Fujairah</t>
  </si>
  <si>
    <t>Fujairah Free Zone</t>
  </si>
  <si>
    <t>FOIZ (Fujairah Oil Idustry Zone)</t>
  </si>
  <si>
    <t>Wha are designated zone in UAE for VAT Purpose?</t>
  </si>
  <si>
    <t xml:space="preserve">In the UAE, "Designated Zones" for VAT purposes refer to specific areas recognized by the Federal Tax Authority (FTA) where the movement of goods and services is treated similarly to outside the UAE for VAT purposes. These zones are treated as outside the UAE for VAT when goods are moved between them. As a result, certain transactions in these zones can be exempt from VAT, such as imports or supplies of goods. </t>
  </si>
  <si>
    <t>What is the VAT treatment for services provided within a Designated Zone?</t>
  </si>
  <si>
    <t>Services supplied within a Designated Zone are generally taxed as though they are provided within the UAE. The VAT treatment follows the general rules, meaning most services will be subject to VAT at the standard rate. However, if the services are exported (provided to a person outside the GCC), they may be zero-rated.</t>
  </si>
  <si>
    <t>When will a supply of goods within a Designated Zone be subject to VAT?</t>
  </si>
  <si>
    <t>A supply of goods within a Designated Zone is treated as outside the UAE and not subject to VAT, unless the goods are consumed (utilized, applied, or exploited) within the zone. Reselling goods in the zone does not count as consumption, and such supplies remain outside VAT scope.</t>
  </si>
  <si>
    <t>Are there any exceptions to the default rule for VAT on goods within a Designated Zone?</t>
  </si>
  <si>
    <t>Yes, VAT will apply if goods are consumed within the zone. However, if the goods are incorporated into, attached to, or used in the production of another good that is not consumed within the zone, VAT will not apply.</t>
  </si>
  <si>
    <t>What does ‘consumption’ of goods mean in a Designated Zone?</t>
  </si>
  <si>
    <t>‘Consumption’ refers to the actual use or application of goods within the zone. This includes utilization, employment, or exploitation. Resale of the goods is not considered consumption, so VAT would still not apply in that case.</t>
  </si>
  <si>
    <t>Is there any VAT exemption when goods are used in the production of another good within a Designated Zone?</t>
  </si>
  <si>
    <t>Goods used in the production of another item within the zone are generally exempt from VAT, as long as the produced item is not consumed within the zone itself. For example, tools or equipment used in manufacturing another product are exempt from VAT, while a computer used for design purposes may not meet the criteria.</t>
  </si>
  <si>
    <t>A manufacturer in the Designated Zone buys a computer to be used to create designs for goods to be manufactured by the manufacturer.  Will it be subjected to UAE VAT?</t>
  </si>
  <si>
    <t>The computer used for designing products, though part of the broader manufacturing process, is not directly involved in producing the goods themselves. Since design is one step removed from production, the sale of such goods would fall within the scope of UAE VAT under Article 51(5) of the VAT Executive Regulations, meaning VAT will apply. This is because the tool (in this case, the computer) is indirectly contributing to the creation of the goods, thus triggering VAT obligations.</t>
  </si>
  <si>
    <t xml:space="preserve"> If an oil equipment manufacturer in a Designated Zone buys steel to make equipment, and then sells the equipment, is this subject to VAT?</t>
  </si>
  <si>
    <t>No, the purchase of steel is outside the scope of VAT. Although the steel is "consumed" in production, it becomes part of the manufactured equipment, which is not considered consumed by the manufacturer. Since the steel is not directly consumed in the process, the VAT rules for Designated Zones do not apply, and the sale remains outside the scope of VAT.</t>
  </si>
  <si>
    <t>What is VAT 201 form?</t>
  </si>
  <si>
    <t>The VAT 201 form is the VAT return form used in the UAE to report VAT liabilities and input tax recoveries. Businesses must file this form periodically (usually quarterly or annually) to declare their VAT position, including details of sales, purchases, VAT collected, and VAT paid. This form is submitted to the Federal Tax Authority (FTA) to ensure that VAT compliance requirements are met. It's crucial for businesses to accurately fill out and submit the VAT 201 to avoid penalties.</t>
  </si>
  <si>
    <t>Wha it VAT 311 form?</t>
  </si>
  <si>
    <t>The VAT 311 form is used by businesses in the UAE to claim refunds for VAT paid on goods and services. This typically applies to non-resident businesses or those with partial VAT exemptions. The form allows businesses to recover VAT on their eligible expenses when filing a refund request with the Federal Tax Authority (FTA).</t>
  </si>
  <si>
    <t>What are other forms used in UAE VAT?</t>
  </si>
  <si>
    <t>In addition to VAT 201 and VAT 311 forms, other common VAT forms in the UAE include:
VAT 100 - The regular VAT return form used for reporting taxable supplies, input tax, and VAT due to the FTA.
VAT 301 - Used for reporting tax on goods and services related to imports.
VAT 202 - For businesses requesting VAT refunds on VAT paid for purchases.
VAT 106 - Used for correcting errors or omissions in previous VAT returns.</t>
  </si>
  <si>
    <t>Registration for VAT is important because it allows businesses to charge VAT on taxable supplies and recover VAT on their expenses. It ensures compliance with tax laws, prevents VAT from becoming an additional cost, and gives businesses a Tax Registration Number (TRN). Businesses may be required to register based on their turnover or can register voluntarily. Additionally, multiple legal entities can register as a tax group under a single VAT registration.</t>
  </si>
  <si>
    <t>Why registration is important?</t>
  </si>
  <si>
    <t>What is the due date of registration under VAT?</t>
  </si>
  <si>
    <t>A person must register for VAT in the UAE if their taxable supplies and imports exceed AED 375,000 in the past 12 months or are expected to exceed AED 375,000 in the next 30 days. Non-residents in GCC countries that have implemented VAT must also register if they make taxable supplies or imports in the UAE. When calculating, exclude exempt supplies and one-off capital asset sales from the total value for VAT registration purposes.</t>
  </si>
  <si>
    <t>Can a person be exempt from VAT registration if their taxable supplies are only zero-rated?</t>
  </si>
  <si>
    <t>Yes, if a person exceeds the mandatory VAT registration threshold but only makes zero-rated supplies, they may request an exemption from registration. However, the FTA has discretion in accepting such requests. If the exemption is granted, the person must inform the FTA if they start making standard-rated supplies, or face penalties for non-compliance.</t>
  </si>
  <si>
    <t>What is voluntary VAT registration and when can a business apply for it?</t>
  </si>
  <si>
    <t>Voluntary VAT registration allows businesses with a turnover below the mandatory threshold to register for VAT. This option is beneficial for recovering VAT on expenses, avoiding VAT inclusion in pricing, and using the reverse charge for imports. A business can apply for voluntary registration if their taxable supplies, imports, or VAT-exposed expenses exceed AED 187,500 in the last 12 months or are expected to exceed it in the next 30 days. The registration becomes effective the first day of the month after the application.</t>
  </si>
  <si>
    <t>What are the requirements to form a VAT tax group in the UAE?</t>
  </si>
  <si>
    <t>To form a VAT tax group, the following conditions must be met:
Each member must be a legal person (not a natural person).
All members must have a place of establishment or fixed establishment in the UAE.
The members must be related parties, sharing economic, financial, or organizational ties.
One or more members must control the others in the partnership.</t>
  </si>
  <si>
    <t>How does VAT registration work for a tax group?</t>
  </si>
  <si>
    <t>Once registered as a tax group, all members are treated as a single taxable person for VAT purposes. This means:
No VAT is charged on supplies between group members.
A single VAT registration number is used for the entire group.
Only one tax return is submitted for all group members.</t>
  </si>
  <si>
    <t>Are members of a tax group jointly responsible for VAT obligations?</t>
  </si>
  <si>
    <t>Yes, members of a tax group are jointly and severally liable for any VAT debts or obligations incurred during their membership, including penalties. Even if a business leaves the tax group, it remains responsible for VAT and penalties for the period when it was a member.</t>
  </si>
  <si>
    <t>How can a person register for VAT in the UAE?</t>
  </si>
  <si>
    <t>VAT registration can be completed via the online portal on the FTA website. Either the taxable person or their appointed tax agent can fill out the VAT registration form or tax group registration form.</t>
  </si>
  <si>
    <t>What happens if a person fails to notify the FTA about the need to register for VAT?</t>
  </si>
  <si>
    <t>If a taxable person does not notify the FTA within the required timeframe, the FTA may register the person from the date they should have registered. The person will remain liable for VAT on taxable supplies and subject to penalties.</t>
  </si>
  <si>
    <t>When should a taxable person notify the FTA for VAT deregistration?</t>
  </si>
  <si>
    <t>What happens if a taxable person fails to deregister within the required timeframe?</t>
  </si>
  <si>
    <t>Failure to notify the FTA of the need to deregister on time can result in an administrative penalty.</t>
  </si>
  <si>
    <t>What is a supply?</t>
  </si>
  <si>
    <t>A supply refers to the transfer or provision of goods or services for consideration (payment) in a business context. Under VAT law, a supply can be:
Goods Supply: The transfer of ownership or the right to use property, goods, or assets. For example, selling a car or transferring ownership of a piece of equipment.
Services Supply: Any provision that isn't classified as goods. Services might include activities like consulting, maintenance, or professional services.
For VAT purposes, a supply must be made for consideration, meaning something is received in return for the supply—whether it's money, goods, or services.</t>
  </si>
  <si>
    <t>What is the difference between a supply of goods and a supply of services under VAT?</t>
  </si>
  <si>
    <t xml:space="preserve">A supply is considered "goods" when there is a transfer of ownership or the right to use property or assets as the owner. Examples include the supply of water, energy, or real estate. A "service" is any supply that does not involve the transfer of goods, such as consultancy or professional services.
</t>
  </si>
  <si>
    <t>What is meant by “consideration” in a taxable supply for VAT purposes?</t>
  </si>
  <si>
    <t xml:space="preserve">Consideration refers to anything received or expected in return for the supply of goods or services. This could be in the form of money or non-monetary compensation (e.g., goods or services in exchange for a supply). Essentially, the supply must be made in return for something of value.
</t>
  </si>
  <si>
    <t>How do I know if a supply is made in the course of business for VAT purposes?</t>
  </si>
  <si>
    <t>For VAT purposes, a supply must be made by a person conducting business in the UAE. Business activities are characterized by being regular, ongoing, independent, and for profit. Activities of employees do not constitute business activities for VAT, but independent contractors’ activities do.</t>
  </si>
  <si>
    <t>What is a deemed supply under VAT law?</t>
  </si>
  <si>
    <t>A deemed supply occurs when certain activities that would not typically be classified as a taxable supply still require VAT to be accounted for. This includes situations like supplying goods from business assets for no consideration or transferring business goods from the UAE to another GCC state. VAT is charged as though a taxable supply occurred.</t>
  </si>
  <si>
    <t>Are there exceptions where deemed supply rules don’t apply under VAT?</t>
  </si>
  <si>
    <t>Yes, there are exceptions. Deemed supply rules do not apply if no input tax was recovered on the goods or services, or if the supply would be an exempt supply (such as residential property). Additionally, gifts or private use of business assets won’t trigger VAT if the total value is under AED 500 per recipient in a 12-month period, or if the total output tax is less than AED 2,000 over 12 months.</t>
  </si>
  <si>
    <t>Is VAT applicable to service charges?</t>
  </si>
  <si>
    <t>Yes, if a service charge is added to the bill, it is considered part of the main supply (e.g., catering services) and follows the same VAT liability as the principal supply. VAT will be applicable to the service charge.</t>
  </si>
  <si>
    <t>Is VAT applicable to tips given by customers?</t>
  </si>
  <si>
    <t>No, if the customer voluntarily gives a tip above the total charge, it is not subject to VAT. Tips are considered outside the scope of VAT.</t>
  </si>
  <si>
    <t>What supplies are considered zero-rated under UAE VAT?</t>
  </si>
  <si>
    <t>Zero-rated supplies are taxable supplies subject to VAT at 0%. These include:
1. Exports of goods or services outside the GCC Implementing States.
2. International transport of passengers and goods starting, ending, or passing through the UAE, and related services.
Goods and services used during international transport of goods or passengers.
Air, sea, and land transport used for passenger or goods transport, including related services for their operation, repair, maintenance, or conversion.
Aircraft and vessels used for rescue and assistance.
Certain investment precious metals.
The first supply of a newly constructed or converted residential building within 3 years of completion.
First supply of a building specifically designed for charity use.
Crude oil and natural gas.
Educational services and related goods for nurseries, preschool, elementary education, and government-funded higher education institutions.
Preventive and basic healthcare services and related goods.</t>
  </si>
  <si>
    <t>Free Zone for Customs Law</t>
  </si>
  <si>
    <t>A Free Zone refers to a designated area within the UAE where commercial or industrial activities are carried out according to specific laws.
Customs Exemption: Goods entering a Free Zone are considered outside the standard customs zone and are not subject to regular customs control and procedures. This means that imported goods to Free Zones may be exempt from customs duties as long as they remain within the Free Zone.
Regulations: Free Zones operate under unique regulatory frameworks that allow businesses to benefit from exemptions on customs duties, provided the goods are not moved to the mainland.</t>
  </si>
  <si>
    <t>Custom Duty Rate in UAE?</t>
  </si>
  <si>
    <t>The duty rate of the customs tariff shall be either ad Valorem (percentage of the value of goods) or specific (an amount levied on each unit of the goods), or both</t>
  </si>
  <si>
    <t>Custom Declaration :</t>
  </si>
  <si>
    <r>
      <rPr>
        <b/>
        <sz val="11"/>
        <color theme="1"/>
        <rFont val="Calibri"/>
        <family val="2"/>
        <scheme val="minor"/>
      </rPr>
      <t>Proof of Origin</t>
    </r>
    <r>
      <rPr>
        <sz val="11"/>
        <color theme="1"/>
        <rFont val="Calibri"/>
        <family val="2"/>
        <scheme val="minor"/>
      </rPr>
      <t xml:space="preserve">
Imported goods must have proof of origin based on international or regional trade agreements.
</t>
    </r>
    <r>
      <rPr>
        <b/>
        <sz val="11"/>
        <color theme="1"/>
        <rFont val="Calibri"/>
        <family val="2"/>
        <scheme val="minor"/>
      </rPr>
      <t>Valuation for Customs</t>
    </r>
    <r>
      <rPr>
        <sz val="11"/>
        <color theme="1"/>
        <rFont val="Calibri"/>
        <family val="2"/>
        <scheme val="minor"/>
      </rPr>
      <t xml:space="preserve">
The value of goods for customs purposes is determined by specific rules and principles provided in the implementation guidelines.</t>
    </r>
  </si>
  <si>
    <t>Importation and Exportation of Goods</t>
  </si>
  <si>
    <t>#</t>
  </si>
  <si>
    <t>What are the documents required to prove the custom value?</t>
  </si>
  <si>
    <t>1. Any shipment may be unloaded or transshipped only under supervision of the customs office.</t>
  </si>
  <si>
    <t>Admission and Transport of Goods Without Payment of Duties:</t>
  </si>
  <si>
    <t>Goods can be brought into the country and transported to other locations without paying customs duties, as long as a bail or bank guarantee is provided. The guarantee must be equivalent to the amount of duties owed, as instructed by the director general.</t>
  </si>
  <si>
    <t>Release of Bails and Guarantees</t>
  </si>
  <si>
    <t>Bails, bank guarantees, and securities can be released with a discharge certificate, based on the conditions set by the director general.</t>
  </si>
  <si>
    <t>Customs Law Flowchart (Articles 78-84)</t>
  </si>
  <si>
    <t>1. Foreign Goods in Free Zones and Duty-Free Shops</t>
  </si>
  <si>
    <r>
      <t>Allowed Duty-Free</t>
    </r>
    <r>
      <rPr>
        <sz val="11"/>
        <color theme="1"/>
        <rFont val="Calibri"/>
        <family val="2"/>
        <scheme val="minor"/>
      </rPr>
      <t>: Foreign goods can be brought into Free Zones and Duty-Free Shops without customs duties.</t>
    </r>
  </si>
  <si>
    <r>
      <t>Exportable</t>
    </r>
    <r>
      <rPr>
        <sz val="11"/>
        <color theme="1"/>
        <rFont val="Calibri"/>
        <family val="2"/>
        <scheme val="minor"/>
      </rPr>
      <t>: Goods can be taken out to other zones or outside the country without taxes.</t>
    </r>
  </si>
  <si>
    <r>
      <t>Re-exportation</t>
    </r>
    <r>
      <rPr>
        <sz val="11"/>
        <color theme="1"/>
        <rFont val="Calibri"/>
        <family val="2"/>
        <scheme val="minor"/>
      </rPr>
      <t>: Goods can be re-exported from the country into Free Zones or Duty-Free Shops with specific procedures.</t>
    </r>
  </si>
  <si>
    <t>2. Transfer of Imported Goods (Article 79)</t>
  </si>
  <si>
    <r>
      <t>Approval Needed</t>
    </r>
    <r>
      <rPr>
        <sz val="11"/>
        <color theme="1"/>
        <rFont val="Calibri"/>
        <family val="2"/>
        <scheme val="minor"/>
      </rPr>
      <t>: Imported goods listed in the cargo manifest need approval from the Director General before entering Free Zones and Duty-Free Shops.</t>
    </r>
  </si>
  <si>
    <t>3. Prohibited Goods (Article 80)</t>
  </si>
  <si>
    <r>
      <t>Flammable goods</t>
    </r>
    <r>
      <rPr>
        <sz val="11"/>
        <color theme="1"/>
        <rFont val="Calibri"/>
        <family val="2"/>
        <scheme val="minor"/>
      </rPr>
      <t xml:space="preserve"> (except authorized fuels)</t>
    </r>
  </si>
  <si>
    <t>Radioactive materials</t>
  </si>
  <si>
    <r>
      <t>Arms, ammunition, explosives</t>
    </r>
    <r>
      <rPr>
        <sz val="11"/>
        <color theme="1"/>
        <rFont val="Calibri"/>
        <family val="2"/>
        <scheme val="minor"/>
      </rPr>
      <t xml:space="preserve"> (without licenses)</t>
    </r>
  </si>
  <si>
    <r>
      <t>Infringing goods</t>
    </r>
    <r>
      <rPr>
        <sz val="11"/>
        <color theme="1"/>
        <rFont val="Calibri"/>
        <family val="2"/>
        <scheme val="minor"/>
      </rPr>
      <t xml:space="preserve"> (violation of intellectual property rights)</t>
    </r>
  </si>
  <si>
    <t>Narcotic drugs</t>
  </si>
  <si>
    <t>Goods from boycotted countries</t>
  </si>
  <si>
    <t>Prohibited goods as per the list from each State</t>
  </si>
  <si>
    <t>4. Customs Inspection (Article 81)</t>
  </si>
  <si>
    <r>
      <t>Inspection</t>
    </r>
    <r>
      <rPr>
        <sz val="11"/>
        <color theme="1"/>
        <rFont val="Calibri"/>
        <family val="2"/>
        <scheme val="minor"/>
      </rPr>
      <t>: Customs can inspect goods in Free Zones and Duty-Free Shops for prohibited items and smuggling.</t>
    </r>
  </si>
  <si>
    <t>5. Reporting (Article 82)</t>
  </si>
  <si>
    <r>
      <t>Recordkeeping</t>
    </r>
    <r>
      <rPr>
        <sz val="11"/>
        <color theme="1"/>
        <rFont val="Calibri"/>
        <family val="2"/>
        <scheme val="minor"/>
      </rPr>
      <t>: Management must submit a list of goods brought in or taken out from the zones if requested by authorities.</t>
    </r>
  </si>
  <si>
    <t>6. Transfers Between Zones (Article 83)</t>
  </si>
  <si>
    <r>
      <t>Approval Needed</t>
    </r>
    <r>
      <rPr>
        <sz val="11"/>
        <color theme="1"/>
        <rFont val="Calibri"/>
        <family val="2"/>
        <scheme val="minor"/>
      </rPr>
      <t>: Goods cannot be transferred to other Free Zones, stores, or warehouses without the Director General's approval.</t>
    </r>
  </si>
  <si>
    <t>7. Withdrawal of Goods (Article 84)</t>
  </si>
  <si>
    <r>
      <t>Regulation</t>
    </r>
    <r>
      <rPr>
        <sz val="11"/>
        <color theme="1"/>
        <rFont val="Calibri"/>
        <family val="2"/>
        <scheme val="minor"/>
      </rPr>
      <t>: Goods must be withdrawn from Free Zones or Duty-Free Shops following applicable regulations set by the Director General.</t>
    </r>
  </si>
  <si>
    <t>Goods imported into or out of the country from Free Zones and Duty-Free Shops are treated as foreign goods.
This means they are subject to the customs procedures applicable to foreign goods, even if they were originally in a Free Zone or Duty-Free Shop.
These goods will follow the same rules for customs duties, taxes, and other regulations that apply to goods imported from outside the country.</t>
  </si>
  <si>
    <t>The Director General may grant temporary admission for the following goods:
Heavy Machinery &amp; Equipment: Used for project completion or conducting tests/experiments.
Foreign Goods for Processing: Goods imported for further processing before re-export.
Items for Events: Such as playgrounds, theatres, exhibitions, etc.
Machinery for Repair: Equipment brought in for repair purposes.
Containers &amp; Packing: Imported for refilling purposes.
Animals for Grazing: Animals temporarily admitted for grazing.
Commercial Samples: Imported for exhibition purposes.
Other Cases: Any other goods as deemed necessary by the Director General.
Conditions for Temporary Admission:
These items must be re-exported or deposited in free zones, customs offices, or warehouses within the prescribed temporary admission period as per the Rules of Implementation.</t>
  </si>
  <si>
    <t>If goods are imported into a Free Zone in the UAE, rebranded, and then exported to a country outside the GCC, will they be subject to customs duty in the UAE?</t>
  </si>
  <si>
    <t>If goods are imported into a Free Zone in the UAE, rebranded, and then exported to another country outside the GCC, the following key points apply under UAE Customs Law:
Customs Duties on Goods in Free Zones: Goods in a Free Zone are generally not subject to customs duties while they remain within the zone. This is one of the benefits of Free Zones.
Rebranding: The act of rebranding does not typically trigger customs duties, as the goods are still considered to be "in-transit" within the Free Zone and have not yet entered the UAE's domestic market.
Re-exportation: When the goods are re-exported to another country (outside the GCC), they are considered "foreign goods" as per UAE customs regulations. As long as the goods have not entered the domestic UAE market, no customs duty is levied.
Therefore, customs duty will not apply if the goods remain in the Free Zone, are rebranded, and then exported outside the GCC, as long as they are not brought into the UAE mainland. The key is that the goods are re-exported without entering the domestic UAE market.</t>
  </si>
  <si>
    <t>8. Treatment of Imported Goods from Free Zones and Duty-Free Shops:</t>
  </si>
  <si>
    <t>9. Temporary Admission of Goods (Director General's Authority)(Article 90)</t>
  </si>
  <si>
    <r>
      <rPr>
        <b/>
        <sz val="11"/>
        <color theme="1"/>
        <rFont val="Calibri"/>
        <family val="2"/>
        <scheme val="minor"/>
      </rPr>
      <t>Document Requirements for Customs Value</t>
    </r>
    <r>
      <rPr>
        <sz val="11"/>
        <color theme="1"/>
        <rFont val="Calibri"/>
        <family val="2"/>
        <scheme val="minor"/>
      </rPr>
      <t xml:space="preserve">
The customs declaration must include the original invoice. However, clearance can proceed without it if the business promises to provide the invoice within 90 days.
The value of goods must be proven using original invoices and documents.
Customs can request additional documents like contracts or correspondence for verification, but they don’t have to accept everything provided.
If invoices are in a foreign language, an Arabic translation may be required.
Value of Exported Goods
The value of exported goods includes the declared value plus all costs until the goods reach the customs office.
</t>
    </r>
    <r>
      <rPr>
        <b/>
        <sz val="11"/>
        <color theme="1"/>
        <rFont val="Calibri"/>
        <family val="2"/>
        <scheme val="minor"/>
      </rPr>
      <t>Classification of Goods</t>
    </r>
    <r>
      <rPr>
        <sz val="11"/>
        <color theme="1"/>
        <rFont val="Calibri"/>
        <family val="2"/>
        <scheme val="minor"/>
      </rPr>
      <t xml:space="preserve">
Goods not listed in the customs tariff are classified based on the World Customs Organization’s advice. If the goods fall under a national heading in the tariff, they are classified according to the customs system used by member states.</t>
    </r>
  </si>
  <si>
    <t>If there is any shortage in goods released under temporary admission when they are taken out, the goods will be subject to the customs duties/taxes that are applicable at the time of their admission into the country.
This means that if the goods are found to be missing or have reduced quantity upon re-export or withdrawal, customs duties will be calculated based on the initial value at the time they were admitted temporarily.</t>
  </si>
  <si>
    <r>
      <t xml:space="preserve">In the context of </t>
    </r>
    <r>
      <rPr>
        <b/>
        <sz val="11"/>
        <color theme="1"/>
        <rFont val="Calibri"/>
        <family val="2"/>
        <scheme val="minor"/>
      </rPr>
      <t>temporary admission of goods</t>
    </r>
    <r>
      <rPr>
        <sz val="11"/>
        <color theme="1"/>
        <rFont val="Calibri"/>
        <family val="2"/>
        <scheme val="minor"/>
      </rPr>
      <t xml:space="preserve"> for finishing and re-exportation, the relevant </t>
    </r>
    <r>
      <rPr>
        <b/>
        <sz val="11"/>
        <color theme="1"/>
        <rFont val="Calibri"/>
        <family val="2"/>
        <scheme val="minor"/>
      </rPr>
      <t>UAE Customs Law</t>
    </r>
    <r>
      <rPr>
        <sz val="11"/>
        <color theme="1"/>
        <rFont val="Calibri"/>
        <family val="2"/>
        <scheme val="minor"/>
      </rPr>
      <t xml:space="preserve"> allows foreign goods to be temporarily imported into the country without customs duties being applied. This provision is useful for businesses involved in processing, modifying, or repairing goods before they are re-exported outside the UAE. The law specifies two different durations for temporary admission: one year for finishing and re-exportation and six months for other goods as determined by the Director General.</t>
    </r>
  </si>
  <si>
    <t>Relevant Citation:</t>
  </si>
  <si>
    <r>
      <t>Article 6</t>
    </r>
    <r>
      <rPr>
        <sz val="11"/>
        <color theme="1"/>
        <rFont val="Calibri"/>
        <family val="2"/>
        <scheme val="minor"/>
      </rPr>
      <t xml:space="preserve">: Allows foreign goods to be temporarily admitted without customs duties for finishing and re-exportation within </t>
    </r>
    <r>
      <rPr>
        <b/>
        <sz val="11"/>
        <color theme="1"/>
        <rFont val="Calibri"/>
        <family val="2"/>
        <scheme val="minor"/>
      </rPr>
      <t>one year</t>
    </r>
    <r>
      <rPr>
        <sz val="11"/>
        <color theme="1"/>
        <rFont val="Calibri"/>
        <family val="2"/>
        <scheme val="minor"/>
      </rPr>
      <t>.</t>
    </r>
  </si>
  <si>
    <r>
      <t>Article 7</t>
    </r>
    <r>
      <rPr>
        <sz val="11"/>
        <color theme="1"/>
        <rFont val="Calibri"/>
        <family val="2"/>
        <scheme val="minor"/>
      </rPr>
      <t xml:space="preserve">: Specifies that temporary admission for certain goods, as outlined by the Director General, will be limited to </t>
    </r>
    <r>
      <rPr>
        <b/>
        <sz val="11"/>
        <color theme="1"/>
        <rFont val="Calibri"/>
        <family val="2"/>
        <scheme val="minor"/>
      </rPr>
      <t>six months</t>
    </r>
    <r>
      <rPr>
        <sz val="11"/>
        <color theme="1"/>
        <rFont val="Calibri"/>
        <family val="2"/>
        <scheme val="minor"/>
      </rPr>
      <t>.</t>
    </r>
  </si>
  <si>
    <t>Example Applicable in UAE (Jebel Ali Free Zone):</t>
  </si>
  <si>
    <r>
      <t xml:space="preserve">Let's consider a </t>
    </r>
    <r>
      <rPr>
        <b/>
        <sz val="11"/>
        <color theme="1"/>
        <rFont val="Calibri"/>
        <family val="2"/>
        <scheme val="minor"/>
      </rPr>
      <t>real-world scenario</t>
    </r>
    <r>
      <rPr>
        <sz val="11"/>
        <color theme="1"/>
        <rFont val="Calibri"/>
        <family val="2"/>
        <scheme val="minor"/>
      </rPr>
      <t xml:space="preserve"> in the </t>
    </r>
    <r>
      <rPr>
        <b/>
        <sz val="11"/>
        <color theme="1"/>
        <rFont val="Calibri"/>
        <family val="2"/>
        <scheme val="minor"/>
      </rPr>
      <t>Jebel Ali Free Zone (JAFZA)</t>
    </r>
    <r>
      <rPr>
        <sz val="11"/>
        <color theme="1"/>
        <rFont val="Calibri"/>
        <family val="2"/>
        <scheme val="minor"/>
      </rPr>
      <t>, one of the largest and most well-established free zones in the UAE.</t>
    </r>
  </si>
  <si>
    <r>
      <t>Scenario:</t>
    </r>
    <r>
      <rPr>
        <sz val="11"/>
        <color theme="1"/>
        <rFont val="Calibri"/>
        <family val="2"/>
        <scheme val="minor"/>
      </rPr>
      <t xml:space="preserve"> A company based in the Jebel Ali Free Zone receives a shipment of high-tech machinery from a foreign country. The machinery is needed for testing and processing before it can be sold in a different market. Under the UAE Customs Law, these goods can be </t>
    </r>
    <r>
      <rPr>
        <b/>
        <sz val="11"/>
        <color theme="1"/>
        <rFont val="Calibri"/>
        <family val="2"/>
        <scheme val="minor"/>
      </rPr>
      <t>temporarily admitted</t>
    </r>
    <r>
      <rPr>
        <sz val="11"/>
        <color theme="1"/>
        <rFont val="Calibri"/>
        <family val="2"/>
        <scheme val="minor"/>
      </rPr>
      <t xml:space="preserve"> into the UAE without the payment of customs duties for a period of </t>
    </r>
    <r>
      <rPr>
        <b/>
        <sz val="11"/>
        <color theme="1"/>
        <rFont val="Calibri"/>
        <family val="2"/>
        <scheme val="minor"/>
      </rPr>
      <t>one year</t>
    </r>
    <r>
      <rPr>
        <sz val="11"/>
        <color theme="1"/>
        <rFont val="Calibri"/>
        <family val="2"/>
        <scheme val="minor"/>
      </rPr>
      <t xml:space="preserve"> if the goods are to be finished or processed. After processing, the machinery will be </t>
    </r>
    <r>
      <rPr>
        <b/>
        <sz val="11"/>
        <color theme="1"/>
        <rFont val="Calibri"/>
        <family val="2"/>
        <scheme val="minor"/>
      </rPr>
      <t>re-exported</t>
    </r>
    <r>
      <rPr>
        <sz val="11"/>
        <color theme="1"/>
        <rFont val="Calibri"/>
        <family val="2"/>
        <scheme val="minor"/>
      </rPr>
      <t xml:space="preserve"> to a market outside the UAE.</t>
    </r>
  </si>
  <si>
    <t>Steps:</t>
  </si>
  <si>
    <r>
      <t xml:space="preserve">1. The company submits an application for </t>
    </r>
    <r>
      <rPr>
        <b/>
        <sz val="11"/>
        <color theme="1"/>
        <rFont val="Calibri"/>
        <family val="2"/>
        <scheme val="minor"/>
      </rPr>
      <t>temporary admission</t>
    </r>
    <r>
      <rPr>
        <sz val="11"/>
        <color theme="1"/>
        <rFont val="Calibri"/>
        <family val="2"/>
        <scheme val="minor"/>
      </rPr>
      <t xml:space="preserve"> of the machinery, which is then </t>
    </r>
    <r>
      <rPr>
        <b/>
        <sz val="11"/>
        <color theme="1"/>
        <rFont val="Calibri"/>
        <family val="2"/>
        <scheme val="minor"/>
      </rPr>
      <t>approved</t>
    </r>
    <r>
      <rPr>
        <sz val="11"/>
        <color theme="1"/>
        <rFont val="Calibri"/>
        <family val="2"/>
        <scheme val="minor"/>
      </rPr>
      <t xml:space="preserve"> by the customs authorities.</t>
    </r>
  </si>
  <si>
    <t>2. The goods are brought into the Jebel Ali Free Zone, where they can be tested, reassembled, or modified as required. During this time, the company does not pay any customs duties.</t>
  </si>
  <si>
    <r>
      <t xml:space="preserve">3. After the processing is completed, the machinery is </t>
    </r>
    <r>
      <rPr>
        <b/>
        <sz val="11"/>
        <color theme="1"/>
        <rFont val="Calibri"/>
        <family val="2"/>
        <scheme val="minor"/>
      </rPr>
      <t>re-exported</t>
    </r>
    <r>
      <rPr>
        <sz val="11"/>
        <color theme="1"/>
        <rFont val="Calibri"/>
        <family val="2"/>
        <scheme val="minor"/>
      </rPr>
      <t xml:space="preserve"> to the target market outside the UAE, such as Saudi Arabia or another international destination, without incurring any duties.</t>
    </r>
  </si>
  <si>
    <r>
      <t xml:space="preserve">This process allows the company to benefit from the </t>
    </r>
    <r>
      <rPr>
        <b/>
        <sz val="11"/>
        <color theme="1"/>
        <rFont val="Calibri"/>
        <family val="2"/>
        <scheme val="minor"/>
      </rPr>
      <t>0% corporate tax rate</t>
    </r>
    <r>
      <rPr>
        <sz val="11"/>
        <color theme="1"/>
        <rFont val="Calibri"/>
        <family val="2"/>
        <scheme val="minor"/>
      </rPr>
      <t xml:space="preserve"> and </t>
    </r>
    <r>
      <rPr>
        <b/>
        <sz val="11"/>
        <color theme="1"/>
        <rFont val="Calibri"/>
        <family val="2"/>
        <scheme val="minor"/>
      </rPr>
      <t>customs duty exemptions</t>
    </r>
    <r>
      <rPr>
        <sz val="11"/>
        <color theme="1"/>
        <rFont val="Calibri"/>
        <family val="2"/>
        <scheme val="minor"/>
      </rPr>
      <t xml:space="preserve"> available in Jebel Ali Free Zone, making it highly attractive for international companies involved in trade, manufacturing, and logistics.</t>
    </r>
  </si>
  <si>
    <t>Real-World Benefits in the UAE:</t>
  </si>
  <si>
    <r>
      <t>1. Duty-Free Import for Processing</t>
    </r>
    <r>
      <rPr>
        <sz val="11"/>
        <color theme="1"/>
        <rFont val="Calibri"/>
        <family val="2"/>
        <scheme val="minor"/>
      </rPr>
      <t>: Goods can enter the country without customs duties, providing cost savings for businesses engaged in processing, assembly, or manufacturing.</t>
    </r>
  </si>
  <si>
    <r>
      <t>2. Re-exportation to Global Markets</t>
    </r>
    <r>
      <rPr>
        <sz val="11"/>
        <color theme="1"/>
        <rFont val="Calibri"/>
        <family val="2"/>
        <scheme val="minor"/>
      </rPr>
      <t>: After modification or testing, the goods can be re-exported to other international markets without the burden of additional customs duties, giving businesses a competitive edge in global trade.</t>
    </r>
  </si>
  <si>
    <r>
      <t>3. Jebel Ali Free Zone</t>
    </r>
    <r>
      <rPr>
        <sz val="11"/>
        <color theme="1"/>
        <rFont val="Calibri"/>
        <family val="2"/>
        <scheme val="minor"/>
      </rPr>
      <t xml:space="preserve">: As a major logistics and trading hub, JAFZA provides facilities for re-exporting goods and a conducive environment for businesses involved in import-export activities. It also offers </t>
    </r>
    <r>
      <rPr>
        <b/>
        <sz val="11"/>
        <color theme="1"/>
        <rFont val="Calibri"/>
        <family val="2"/>
        <scheme val="minor"/>
      </rPr>
      <t>customs exemptions</t>
    </r>
    <r>
      <rPr>
        <sz val="11"/>
        <color theme="1"/>
        <rFont val="Calibri"/>
        <family val="2"/>
        <scheme val="minor"/>
      </rPr>
      <t>, helping businesses save on operational costs and pass those savings to their clients.</t>
    </r>
  </si>
  <si>
    <t>Example of Temporary Admission in JAFZA:</t>
  </si>
  <si>
    <r>
      <t xml:space="preserve">A </t>
    </r>
    <r>
      <rPr>
        <b/>
        <sz val="11"/>
        <color theme="1"/>
        <rFont val="Calibri"/>
        <family val="2"/>
        <scheme val="minor"/>
      </rPr>
      <t>machinery company</t>
    </r>
    <r>
      <rPr>
        <sz val="11"/>
        <color theme="1"/>
        <rFont val="Calibri"/>
        <family val="2"/>
        <scheme val="minor"/>
      </rPr>
      <t xml:space="preserve"> in JAFZA imports advanced industrial equipment (such as a CNC machine) from Europe for assembly and testing. Under the UAE Customs Law, the machinery can be brought into the free zone for </t>
    </r>
    <r>
      <rPr>
        <b/>
        <sz val="11"/>
        <color theme="1"/>
        <rFont val="Calibri"/>
        <family val="2"/>
        <scheme val="minor"/>
      </rPr>
      <t>processing</t>
    </r>
    <r>
      <rPr>
        <sz val="11"/>
        <color theme="1"/>
        <rFont val="Calibri"/>
        <family val="2"/>
        <scheme val="minor"/>
      </rPr>
      <t xml:space="preserve"> without paying customs duties. After completing the testing and assembly, the machinery is </t>
    </r>
    <r>
      <rPr>
        <b/>
        <sz val="11"/>
        <color theme="1"/>
        <rFont val="Calibri"/>
        <family val="2"/>
        <scheme val="minor"/>
      </rPr>
      <t>re-exported</t>
    </r>
    <r>
      <rPr>
        <sz val="11"/>
        <color theme="1"/>
        <rFont val="Calibri"/>
        <family val="2"/>
        <scheme val="minor"/>
      </rPr>
      <t xml:space="preserve"> to another country like the United States or Qatar for sale.</t>
    </r>
  </si>
  <si>
    <t>In this case, the company benefits from:</t>
  </si>
  <si>
    <t>No customs duties during the temporary import process.</t>
  </si>
  <si>
    <t>Customs exemptions in JAFZA for re-exported goods.</t>
  </si>
  <si>
    <t>A cost-efficient method to test and assemble goods without incurring additional import duties.</t>
  </si>
  <si>
    <r>
      <t>UAE Customs Law Reference</t>
    </r>
    <r>
      <rPr>
        <sz val="11"/>
        <color theme="1"/>
        <rFont val="Calibri"/>
        <family val="2"/>
        <scheme val="minor"/>
      </rPr>
      <t>:</t>
    </r>
  </si>
  <si>
    <r>
      <t>Article 6</t>
    </r>
    <r>
      <rPr>
        <sz val="11"/>
        <color theme="1"/>
        <rFont val="Calibri"/>
        <family val="2"/>
        <scheme val="minor"/>
      </rPr>
      <t xml:space="preserve"> of the </t>
    </r>
    <r>
      <rPr>
        <b/>
        <sz val="11"/>
        <color theme="1"/>
        <rFont val="Calibri"/>
        <family val="2"/>
        <scheme val="minor"/>
      </rPr>
      <t>UAE Customs Law</t>
    </r>
    <r>
      <rPr>
        <sz val="11"/>
        <color theme="1"/>
        <rFont val="Calibri"/>
        <family val="2"/>
        <scheme val="minor"/>
      </rPr>
      <t>: "Foreign goods temporarily admitted for finishing or re-exportation are not subject to customs duties for up to one year."</t>
    </r>
  </si>
  <si>
    <r>
      <t>Article 7</t>
    </r>
    <r>
      <rPr>
        <sz val="11"/>
        <color theme="1"/>
        <rFont val="Calibri"/>
        <family val="2"/>
        <scheme val="minor"/>
      </rPr>
      <t>: For specific goods, the Director General may limit the temporary admission period to six months.</t>
    </r>
  </si>
  <si>
    <r>
      <t xml:space="preserve">This system is designed to </t>
    </r>
    <r>
      <rPr>
        <b/>
        <sz val="11"/>
        <color theme="1"/>
        <rFont val="Calibri"/>
        <family val="2"/>
        <scheme val="minor"/>
      </rPr>
      <t>encourage businesses</t>
    </r>
    <r>
      <rPr>
        <sz val="11"/>
        <color theme="1"/>
        <rFont val="Calibri"/>
        <family val="2"/>
        <scheme val="minor"/>
      </rPr>
      <t xml:space="preserve"> to operate efficiently in the UAE's free zones and ensures that companies can process or modify goods without being burdened by customs duties, promoting trade and international commerce.</t>
    </r>
  </si>
  <si>
    <t>Temporary Admission of Goods for Finishing and Re-exportation:</t>
  </si>
  <si>
    <r>
      <t>Rebranding as Processing</t>
    </r>
    <r>
      <rPr>
        <sz val="11"/>
        <color theme="1"/>
        <rFont val="Calibri"/>
        <family val="2"/>
        <scheme val="minor"/>
      </rPr>
      <t>:</t>
    </r>
  </si>
  <si>
    <t xml:space="preserve"> Rebranding, in this context, can be considered as a form of processing or modifying the goods. This could involve relabeling, changing packaging, or modifying logos to make the product more suited to the local or international market.</t>
  </si>
  <si>
    <r>
      <t xml:space="preserve">1. </t>
    </r>
    <r>
      <rPr>
        <b/>
        <sz val="11"/>
        <color theme="1"/>
        <rFont val="Calibri"/>
        <family val="2"/>
        <scheme val="minor"/>
      </rPr>
      <t>Re-Exportation of Foreign Goods: Conditions and Eligibility</t>
    </r>
  </si>
  <si>
    <t>Foreign goods imported into the country without paying customs duties may be re-exported, provided certain conditions are met:
Goods that remain in customs stores or warehouses, or are temporarily released under guarantees, can be re-exported.
Goods that were admitted under temporary admission procedures and are still in their original condition are eligible for re-exportation.</t>
  </si>
  <si>
    <r>
      <t xml:space="preserve">2. </t>
    </r>
    <r>
      <rPr>
        <b/>
        <sz val="11"/>
        <color theme="1"/>
        <rFont val="Calibri"/>
        <family val="2"/>
        <scheme val="minor"/>
      </rPr>
      <t>Re-Export Declaration Process</t>
    </r>
  </si>
  <si>
    <t>To re-export goods, a re-export declaration must be made, containing all relevant details of the goods. This process must be approved by the customs office and includes:
The re-export declaration being made by the importer or another authorized person.
The declaration should reference the original customs declaration under which the goods were imported.
Goods will be subject to customs inspections and any required procedures as per the Common Customs Law.</t>
  </si>
  <si>
    <r>
      <t xml:space="preserve">3. </t>
    </r>
    <r>
      <rPr>
        <b/>
        <sz val="11"/>
        <color theme="1"/>
        <rFont val="Calibri"/>
        <family val="2"/>
        <scheme val="minor"/>
      </rPr>
      <t>Refund of Customs Duties on Re-Exportation</t>
    </r>
  </si>
  <si>
    <t>Customs duties paid on foreign goods that are re-exported outside of the GCC can be refunded under the following conditions:
The value of the goods must be over $5,000 USD or its equivalent in local currency.
The goods must be re-exported within one year of importation, and the refund request must be made within six months after re-exportation.
The goods should not have been used locally and must be in the same condition as when they were imported.
Refund is limited to the customs duties actually paid.</t>
  </si>
  <si>
    <r>
      <t xml:space="preserve">4. </t>
    </r>
    <r>
      <rPr>
        <b/>
        <sz val="11"/>
        <color theme="1"/>
        <rFont val="Calibri"/>
        <family val="2"/>
        <scheme val="minor"/>
      </rPr>
      <t>Transport and Security of Re-Exported Goods</t>
    </r>
  </si>
  <si>
    <t>When re-exporting goods, the means of transportation (such as trucks) must adhere to the relevant security and customs sealing procedures, ensuring that:
Goods are securely covered and properly sealed.
Cash or bank guarantees may be required to ensure customs duties are secured during transit.</t>
  </si>
  <si>
    <t>5. Completion of Re-Export Process and Guarantee Release</t>
  </si>
  <si>
    <t>After the goods are re-exported, the following documents must be provided for the completion of the process:
A re-export declaration signed and sealed by the customs officer at the exit point, confirming that the goods have left the country.
A discharge certificate or evidence from the destination country customs, proving that the goods have entered the destination country or a free zone.
These steps ensure that re-exported goods comply with customs rules and that any due customs duties are refunded when applicable.</t>
  </si>
  <si>
    <t>Offence</t>
  </si>
  <si>
    <t>Fine Amount</t>
  </si>
  <si>
    <t>Details</t>
  </si>
  <si>
    <t>Offences related to customs declaration (export, re-export, etc.)</t>
  </si>
  <si>
    <t>Up to 2x the customs duties</t>
  </si>
  <si>
    <t>Includes misstatements, unjustified changes in goods, and improper use of exempted materials</t>
  </si>
  <si>
    <t>Improper customs declarations (misdeclaration of value, type, etc.)</t>
  </si>
  <si>
    <t>SR 500 - SR 5000 (or equivalent)</t>
  </si>
  <si>
    <t>Relates to evading conditions or misstatements that lead to duty evasion</t>
  </si>
  <si>
    <t>Failure to submit required customs documents (manifest, certificates, etc.)</t>
  </si>
  <si>
    <t>SR 500 - SR 1000 (or equivalent)</t>
  </si>
  <si>
    <t>Includes delays or missing documents for imports/exports</t>
  </si>
  <si>
    <t>Failure to keep customs records or breaking customs seals</t>
  </si>
  <si>
    <t>For not maintaining proper documentation or tampering with goods</t>
  </si>
  <si>
    <t>Delay in re-exportation or transit goods</t>
  </si>
  <si>
    <t>SR 200/day (max. half the value of goods)</t>
  </si>
  <si>
    <t>For delay beyond the prescribed period</t>
  </si>
  <si>
    <t>Delaying entry of public transport vehicles</t>
  </si>
  <si>
    <t>SR 200/day (max. SR 1000)</t>
  </si>
  <si>
    <t>For delay of transport vehicles beyond the prescribed period</t>
  </si>
  <si>
    <t>Delay in re-exportation of temporarily admitted goods</t>
  </si>
  <si>
    <t>SR 1000/week (max. 20% of goods' value)</t>
  </si>
  <si>
    <t>For delayed re-exportation of temporarily admitted goods</t>
  </si>
  <si>
    <t>Delay in re-exportation of tourist cars</t>
  </si>
  <si>
    <t>SR 20/day (max. 10% of the car's price)</t>
  </si>
  <si>
    <t>For delayed re-exportation of tourist cars</t>
  </si>
  <si>
    <t>Summary of Cases Where Customs Duties Are Suspended and Drawback Provisions:</t>
  </si>
  <si>
    <t>Section</t>
  </si>
  <si>
    <t>Description</t>
  </si>
  <si>
    <t>Conditions and Rules</t>
  </si>
  <si>
    <t>Suspension of Customs Duties</t>
  </si>
  <si>
    <t>Goods can be released and moved without paying customs duties under specific circumstances.</t>
  </si>
  <si>
    <r>
      <t xml:space="preserve">1. </t>
    </r>
    <r>
      <rPr>
        <b/>
        <sz val="11"/>
        <color theme="1"/>
        <rFont val="Calibri"/>
        <family val="2"/>
        <scheme val="minor"/>
      </rPr>
      <t>Bank/Cash Guarantees</t>
    </r>
    <r>
      <rPr>
        <sz val="11"/>
        <color theme="1"/>
        <rFont val="Calibri"/>
        <family val="2"/>
        <scheme val="minor"/>
      </rPr>
      <t>: Goods are released against a guarantee equal to the customs duties. The guarantee is refunded once the discharge certificate is provided.</t>
    </r>
  </si>
  <si>
    <r>
      <t xml:space="preserve">2. </t>
    </r>
    <r>
      <rPr>
        <b/>
        <sz val="11"/>
        <color theme="1"/>
        <rFont val="Calibri"/>
        <family val="2"/>
        <scheme val="minor"/>
      </rPr>
      <t>Transit through GCC</t>
    </r>
    <r>
      <rPr>
        <sz val="11"/>
        <color theme="1"/>
        <rFont val="Calibri"/>
        <family val="2"/>
        <scheme val="minor"/>
      </rPr>
      <t>: Goods can transit through GCC member states as per international agreements and prescribed routes. The carrier is responsible for following these rules.</t>
    </r>
  </si>
  <si>
    <r>
      <t xml:space="preserve">3. </t>
    </r>
    <r>
      <rPr>
        <b/>
        <sz val="11"/>
        <color theme="1"/>
        <rFont val="Calibri"/>
        <family val="2"/>
        <scheme val="minor"/>
      </rPr>
      <t>Warehouses</t>
    </r>
    <r>
      <rPr>
        <sz val="11"/>
        <color theme="1"/>
        <rFont val="Calibri"/>
        <family val="2"/>
        <scheme val="minor"/>
      </rPr>
      <t>: Goods placed in customs warehouses under the prescribed conditions.</t>
    </r>
  </si>
  <si>
    <r>
      <t xml:space="preserve">4. </t>
    </r>
    <r>
      <rPr>
        <b/>
        <sz val="11"/>
        <color theme="1"/>
        <rFont val="Calibri"/>
        <family val="2"/>
        <scheme val="minor"/>
      </rPr>
      <t>Free Zones/Duty-Free Shops</t>
    </r>
    <r>
      <rPr>
        <sz val="11"/>
        <color theme="1"/>
        <rFont val="Calibri"/>
        <family val="2"/>
        <scheme val="minor"/>
      </rPr>
      <t>: Goods in free zones or duty-free shops may be suspended from customs duties under prescribed rules and control.</t>
    </r>
  </si>
  <si>
    <t>Drawback (Refund of Customs Duties)</t>
  </si>
  <si>
    <t>Customs duties paid on goods may be refunded when the goods leave the country.</t>
  </si>
  <si>
    <t>- The system allows for a refund of duties when goods are re-exported.</t>
  </si>
  <si>
    <t>- The goods must be in the same condition as they were upon importation.</t>
  </si>
  <si>
    <t>- Refund claims must be made within six months of re-exportation.</t>
  </si>
  <si>
    <t>Prohibited Goods</t>
  </si>
  <si>
    <t>Certain goods are prohibited from entering free zones and duty-free shops.</t>
  </si>
  <si>
    <t>Article 80 lists the goods that are prohibited.</t>
  </si>
  <si>
    <t>Movement of Goods in Free Zones</t>
  </si>
  <si>
    <t>Goods may only be moved between free zones according to prescribed regulations.</t>
  </si>
  <si>
    <t>Article 83 provides that goods cannot move from one free zone to another unless allowed by current regulations.</t>
  </si>
  <si>
    <t>Responsibility of Free Zone Administration</t>
  </si>
  <si>
    <t>The free zone administration is held responsible for offences committed by its employees.</t>
  </si>
  <si>
    <t>Article 87 outlines the responsibilities of the administration in the case of violations.</t>
  </si>
  <si>
    <t>Temporary Admission and Re-Exportation</t>
  </si>
  <si>
    <t>Goods not intended for local markets can be temporarily admitted and later re-exported.</t>
  </si>
  <si>
    <t>Articles 89 to 94 outline temporary admission for goods that are not for local consumption. The goods must be re-exported after completing their purpose.</t>
  </si>
  <si>
    <t>Drawback at Re-Exportation</t>
  </si>
  <si>
    <t>Customs duties are refunded (drawback) when goods are re-exported outside of the GCC.</t>
  </si>
  <si>
    <t>Article 97 specifies the conditions for customs duty refunds on foreign goods at the time of re-exportation.</t>
  </si>
  <si>
    <t>A taxable person must notify the FTA within 20 business days if they cease making taxable supplies or if their taxable supplies fall below the Voluntary Registration Threshold for the past two calendar months.
Failure to notify the FTA about deregistration: AED 10,000 penalty.
Failure to submit VAT returns after deregistration: AED 1,000 for the first failure, and AED 2,000 for each subsequent failure.
Additional fines could apply if the FTA believes the failure to deregister is intentional or results in other non-compliance issues.</t>
  </si>
  <si>
    <t>Who is required to maintain audited financial statements under the UAE Corporate Tax Law?</t>
  </si>
  <si>
    <r>
      <t xml:space="preserve">Under the UAE Corporate Tax Law, the following Taxable Persons are required to maintain audited financial statements:
1. Taxable persons whose revenue </t>
    </r>
    <r>
      <rPr>
        <b/>
        <i/>
        <sz val="11"/>
        <color theme="1"/>
        <rFont val="Calibri"/>
        <family val="2"/>
        <scheme val="minor"/>
      </rPr>
      <t>exceeds AED 50,000,000</t>
    </r>
    <r>
      <rPr>
        <i/>
        <sz val="11"/>
        <color theme="1"/>
        <rFont val="Calibri"/>
        <family val="2"/>
        <scheme val="minor"/>
      </rPr>
      <t xml:space="preserve"> </t>
    </r>
    <r>
      <rPr>
        <b/>
        <i/>
        <sz val="11"/>
        <color theme="1"/>
        <rFont val="Calibri"/>
        <family val="2"/>
        <scheme val="minor"/>
      </rPr>
      <t xml:space="preserve">(non SME) </t>
    </r>
    <r>
      <rPr>
        <i/>
        <sz val="11"/>
        <color theme="1"/>
        <rFont val="Calibri"/>
        <family val="2"/>
        <scheme val="minor"/>
      </rPr>
      <t xml:space="preserve">during the relevant tax period.
2. </t>
    </r>
    <r>
      <rPr>
        <b/>
        <i/>
        <sz val="11"/>
        <color theme="1"/>
        <rFont val="Calibri"/>
        <family val="2"/>
        <scheme val="minor"/>
      </rPr>
      <t>Qualifying Free Zone Persons</t>
    </r>
    <r>
      <rPr>
        <i/>
        <sz val="11"/>
        <color theme="1"/>
        <rFont val="Calibri"/>
        <family val="2"/>
        <scheme val="minor"/>
      </rPr>
      <t xml:space="preserve"> (entities that qualify as free zone businesses under the UAE’s Free Zone regulations).</t>
    </r>
  </si>
  <si>
    <t>Maintaining audited financial statements means that the financial records of the business must be examined and verified by an external licensed auditor. The audit ensures that the company’s financial statements are in compliance with applicable accounting standards and accurately represent the financial position of the business.</t>
  </si>
  <si>
    <t>What regulations govern the audit requirement?</t>
  </si>
  <si>
    <t>The audit requirement is governed by the Ministerial Decision No. 82 of 2023 on Maintaining Audited Financial Statements. Businesses are advised to review this decision for detailed information on the obligations and requirements for maintaining and submitting audited financial statements.</t>
  </si>
  <si>
    <t>Provision</t>
  </si>
  <si>
    <t xml:space="preserve"> Federal Decree Law No. (32) of 2021 on Commercial Companies </t>
  </si>
  <si>
    <t xml:space="preserve">1. Every Company shall keep accounting records of its transactions to give a clear picture of 
its financial position at any specific point in time, and to enable the partners or 
shareholders to verify that the Company's accounts are being properly kept in 
accordance with the provisions of this Decree Law. 
2. Every Company shall keep its accounting records at its headquarters for a period of at 
least five [5] years of the end of the fiscal year of the Company.
3. The Company may keep an electronic copy of the original documents and papers saved 
and maintained by the Company in accordance with the guidelines contained in a 
resolution of the Minister. </t>
  </si>
  <si>
    <t>Accounting Records</t>
  </si>
  <si>
    <t>Accounts of the Company</t>
  </si>
  <si>
    <r>
      <t xml:space="preserve">1. Every joint stock company and </t>
    </r>
    <r>
      <rPr>
        <b/>
        <sz val="11"/>
        <color theme="1"/>
        <rFont val="Calibri"/>
        <family val="2"/>
        <scheme val="minor"/>
      </rPr>
      <t xml:space="preserve">limited liability company </t>
    </r>
    <r>
      <rPr>
        <sz val="11"/>
        <color theme="1"/>
        <rFont val="Calibri"/>
        <family val="2"/>
        <scheme val="minor"/>
      </rPr>
      <t>shall have one or more auditors 
to carry out an annual audit of its accounts. Other companies may appoint an auditor in 
accordance with the provisions of this Decree Law. 
2. The Company shall prepare annual financial accounts, including a balance sheet and a 
profit and loss account. 
3. The Company shall apply international accounting standards and principles upon 
preparing its periodic and annual accounts, to give a clear and accurate picture of the 
profits and losses of the Company. 
4. Every partner or shareholder in any Company may, based upon a written request, obtain a 
free copy of the last audited accounts and of the last report of its auditor and a copy of 
the accounts of the group if it is a holding company. The Company shall respond to such 
request within 10 [ten] days of the date of submission.</t>
    </r>
  </si>
  <si>
    <t>Fiscal Year of the Company</t>
  </si>
  <si>
    <t>1. Every Company shall have a fiscal year to be specified in its Articles of Association, 
provided that the first fiscal year of the Company shall be between 6 [six] to 18 
[eighteen] months, starting from the date on which the Company is registered in the 
commercial register maintained by the Competent Authority. 
2. All fiscal years subsequent to the first one shall run for 12 months after the end of the 
preceding fiscal year.</t>
  </si>
  <si>
    <t>Distribution of Profits and Losses</t>
  </si>
  <si>
    <t>1. If the Company's MOA does not define a partner's share in the profits or losses, the latter's 
share shall be proportional to his capital contribution. If the MOA only specifies a 
partner's share in profits, his share of losses shall be equal to his profit share and vice 
versa. 
2. If a partner's contribution is limited to his work, the Company's MOA shall specify his 
share of profits or losses. If the partner has provide a cash or in-kind capital contribution 
in addition to his work, he shall have a share of the profits or losses for his work 
contribution and another share for his capital contribution. 
3. If it is agreed under the Company's MOA that any of the partners is to be denied profits or 
be relieved of losses or that any of the partners gets a fixed return for his contribution, 
such MOA shall be null and void. 
4. It may be agreed to relieve a partner, who contributes only his work, from sharing in the 
loss, provided that no remuneration has been decided for such work.</t>
  </si>
  <si>
    <t>Definition of Limited Liability Company</t>
  </si>
  <si>
    <t>1. A limited liability company (LLC) is a business that must have at least two owners, but no more than fifty. The owners are only responsible for the company's debts up to the amount of money they invested in it.
2. A single person (either an individual or a company) can also start and own an LLC. This person is only responsible for the company's debts up to the amount of money they invested, and the rules for LLCs still apply to them, as long as they don't conflict with the type of company they have.</t>
  </si>
  <si>
    <t>The manager of the Company shall prepare the annual balance sheet and profit and loss 
account, shall also prepare an annual report on the activities and financial position of the 
Company, and shall provide his recommendations on the distribution of the profits to the 
General Assembly, within [3] months of the end of the fiscal year.</t>
  </si>
  <si>
    <t>1. If the number of the partners exceeds fifteen [15], the partners shall appoint a supervisory 
board consisting of at least three partners. They shall be appointed for a [3] three-year 
term of office beginning on the issuance date of the appointment decision. The General Assembly may reappoint such partners when their term of office expires or may appoint other partners in their place. Members of the supervisory board may be removed at any 
time for good cause by the General Assembly. 
2. Non-partner managers may not vote on the appointment or removal of members of the 
supervisory board.</t>
  </si>
  <si>
    <t>The Limited Liability Company shall set aside every year [5%] of its net profits to form a statutory reserve. The partners may resolve to stop such allocation if the reserve reaches 50% of the capital amount.</t>
  </si>
  <si>
    <t>Remuneration of Directors</t>
  </si>
  <si>
    <r>
      <t xml:space="preserve">1. The AOA shall determine the way in which the remuneration of Directors is to be calculated, provided that it does not exceed [10 %] of the net profit for the fiscal year then ended, after the deduction of depreciation and reserves. 
2. Notwithstanding clause [1] of this Article, and subject to the controls to be issued by the SCA in this regard, any director may be paid a lump sum remuneration not exceeding </t>
    </r>
    <r>
      <rPr>
        <b/>
        <sz val="11"/>
        <color theme="1"/>
        <rFont val="Calibri"/>
        <family val="2"/>
        <scheme val="minor"/>
      </rPr>
      <t xml:space="preserve">[AED 200,000] </t>
    </r>
    <r>
      <rPr>
        <sz val="11"/>
        <color theme="1"/>
        <rFont val="Calibri"/>
        <family val="2"/>
        <scheme val="minor"/>
      </rPr>
      <t xml:space="preserve">two hundred thousand dirhams at the end of the fiscal year, </t>
    </r>
    <r>
      <rPr>
        <b/>
        <i/>
        <sz val="11"/>
        <color theme="1"/>
        <rFont val="Calibri"/>
        <family val="2"/>
        <scheme val="minor"/>
      </rPr>
      <t xml:space="preserve">provided that the Company's AOA so permits </t>
    </r>
    <r>
      <rPr>
        <sz val="11"/>
        <color theme="1"/>
        <rFont val="Calibri"/>
        <family val="2"/>
        <scheme val="minor"/>
      </rPr>
      <t>and that the General Assembly has approved the payment of such remuneration in the following cases: 
a. If the company fails to make any profit; 
b. If the company makes a profit and the director's share of those profits is less than [AED 200,000] two hundred thousand dirhams, in which case, the remuneration and fees may not both be paid to a single director. 
3. The fines imposed on the Company due to violations by the board of directors of the Law or the AOA of the Company during the fiscal year ended shall be deducted from the remunerations of the board of directors. The General Assembly may decide to not deduct such fines if it is convinced that they are not due to any negligence or error on the part of the board of directors.</t>
    </r>
  </si>
  <si>
    <t>Capital of Public Joint Stock Company</t>
  </si>
  <si>
    <t>The minimum issued capital of a public joint stock company shall be at least thirty million dirhams AED [30,000,000]. This limit may be amended under a resolution by the Cabinet based upon the proposal of the chairman of the SCA's board of directors.</t>
  </si>
  <si>
    <t>(238</t>
  </si>
  <si>
    <t>Auditing of Fiscal Year's Accounts -PJSC</t>
  </si>
  <si>
    <t>1. The auditor shall audit and prepare a report on the accounts for the fiscal year of the 
Company. The accounts shall be approved by the board of directors and presented to the 
General Assembly together with the auditor's report, within four [4] months of the end 
of each fiscal year of the Company. 
2. The Company shall provide the SCA and the Competent Authority with a copy of the 
accounts and the auditor's report within 7 days of the date of convening the General 
Assembly in which the accounts and the auditor's report were submitted.</t>
  </si>
  <si>
    <t>Statutory Reserve - PJSC</t>
  </si>
  <si>
    <t xml:space="preserve">1. [10%] of the net profits of the Company shall be deducted each year and set aside to form 
a statutory reserve, unless the AOA of the Company provides for a higher percentage. 
2. The General Assembly may stop such deductions when the statutory reserve reaches 50% 
of the paid up capital of the Company, unless its AOA provides for a higher percentage. 
3. The statutory reserve may not be disbursed as dividends to the shareholders. However, 
reserves that exceed 50% of the Capital may be distributed as dividends in years in 
which the Company does not have sufficient net profits available for distribution at the 
percentage stated in the AOA. </t>
  </si>
  <si>
    <t>Responsibility for Preparing Accounts - LLC</t>
  </si>
  <si>
    <t>Appointment of Supervisory Board -LLC</t>
  </si>
  <si>
    <t>Auditors of the Company - LLC</t>
  </si>
  <si>
    <t>Statutory Reserve - LLC</t>
  </si>
  <si>
    <r>
      <t xml:space="preserve">The Limited Liability Company shall have one or more auditors to be appointed each year by 
the General Assembly of Partners and, </t>
    </r>
    <r>
      <rPr>
        <b/>
        <i/>
        <sz val="11"/>
        <color theme="1"/>
        <rFont val="Calibri"/>
        <family val="2"/>
        <scheme val="minor"/>
      </rPr>
      <t xml:space="preserve">notwithstanding the provisions of Article [246] </t>
    </r>
    <r>
      <rPr>
        <sz val="11"/>
        <color theme="1"/>
        <rFont val="Calibri"/>
        <family val="2"/>
        <scheme val="minor"/>
      </rPr>
      <t xml:space="preserve">of this 
Decree Law, the provisions on auditors of public joint stock companies shall also apply to 
the auditor of the Limited Liability Company. The words "Competent Authority" shall replace 
the term "Authority" wherever it appears. </t>
    </r>
  </si>
  <si>
    <t>Conditions Applicable to Auditors</t>
  </si>
  <si>
    <t>The board of directors of the SCA shall pass a resolution determining the controls for 
approving auditors for Public Joint Stock Companies. In particular, the auditor shall meet the 
following criteria: 
1. He shall be licensed to practice auditing in the State and shall have at least 5 years of 
experience in auditing Joint Stock Companies; 
2. He shall be a certified auditor registered with the SCA; 
3. He shall not be serving as both auditor and a partner of the company, nor may serve as a 
Director or in any technical, administrative or executive capacity with the Company; 
4. He shall not be a partner, agent, or second degree relative of any of the founders or 
Directors of the Company. 
5. He shall be an accredited auditor listed with the Central Bank if the Company is licensed 
thereby. 
6. He shall provide to the SCA a professional security if required by the SCA.</t>
  </si>
  <si>
    <t>(253</t>
  </si>
  <si>
    <t>Removal of Auditor</t>
  </si>
  <si>
    <t>1. The Company may, under a resolution of the General Assembly, remove the auditor. 
2. The chairman shall notify the SCA of the resolution dismissing the auditor and the reasons 
for such dismissal, within 7 [seven] days of the resolution to dismiss.</t>
  </si>
  <si>
    <t>Private Joint Stock Companies</t>
  </si>
  <si>
    <t>A private joint stock company is a company where the number of the shareholders is at 
least two. The capital of the company shall be divided into shares with the same nominal 
value, to be paid in full without offering any shares for public offering. This shall be by 
signing the MOA and complying with the provisions of this Decree Law in connection 
with registration and incorporation. A shareholder in the company shall be liable only to 
the extent of their share in the company's capital. 
2. Notwithstanding the minimum limit of the number of shareholders as set forth in Clause 
[1] of this Article, it shall be permissible for a legal person to incorporate and hold a 
private joint stock company. The holder of the company's capital shall only be liable for 
its obligations to the extent of the capital of the company as set out in its MOA. The 
name of the company shall be followed by the phrase "Private Joint Stock – One Person 
Company (OPC)". The provisions of the private joint stock company as set forth in this 
Decree Law shall apply to this legal person, to the extent that does not conflict with the 
nature of such company. The Minister shall issue a resolution on the procedures of 
incorporation and management of the One Person Company (OPC) private joint stock 
company consistent with its nature.</t>
  </si>
  <si>
    <t>Capital</t>
  </si>
  <si>
    <t>1. The issued Capital of the Company shall not be less than [AED 5,000,000] five million 
dirhams and shall be paid in full. Such limit may be amended by a resolution of the 
Cabinet based upon the proposal of the Minister. 
2. Private Joint Stock Companies existing and registered with the Ministry prior to the date of 
entry into force of this Decree Law shall be excluded from the minimum Capital set out 
under Clause [1] of this Article.</t>
  </si>
  <si>
    <t>Note</t>
  </si>
  <si>
    <t>Companies that are in the free zone do not get audited necessarily and do not submit an audit report. However, there are some entities that have to deal with mandatory auditing such as free zone companies (FZCO) and free zone establishments (FZE).</t>
  </si>
  <si>
    <t>Criteria</t>
  </si>
  <si>
    <t>Mainland Companies</t>
  </si>
  <si>
    <t>Free Zone Companies</t>
  </si>
  <si>
    <t>Registration Authority</t>
  </si>
  <si>
    <t>Department of Economic Development (DED)</t>
  </si>
  <si>
    <t>Various free zone authorities</t>
  </si>
  <si>
    <t>Ownership Rules</t>
  </si>
  <si>
    <t>Minimum 51% local partner required</t>
  </si>
  <si>
    <t>100% foreign ownership allowed</t>
  </si>
  <si>
    <t>Business Scope</t>
  </si>
  <si>
    <t>Within and outside UAE</t>
  </si>
  <si>
    <t>Determined by individual free zone</t>
  </si>
  <si>
    <t>Example Free Zones</t>
  </si>
  <si>
    <t>–</t>
  </si>
  <si>
    <t>DMCC, DAFZA, JAFZA, DWC, DSO, etc.</t>
  </si>
  <si>
    <t>Audit Requirements</t>
  </si>
  <si>
    <t>Mandatory annual audit</t>
  </si>
  <si>
    <t>Varies by free zone – some require, others don’t</t>
  </si>
  <si>
    <t>Must maintain for 5 years</t>
  </si>
  <si>
    <t>Still required but no annual audit submission</t>
  </si>
  <si>
    <t>Audit is optional in free zone companies but in some cases free zone authority may require it. But there are some that fall under the category of mandatory auditing such as the free zone companies (FZCO) and free zone establishments (FZE). Some of the Free Zones that require audits are; Dubai Multi Commodities centre (DMCC), Dubai World Central (DWC), Dubai Airport Free zone (DAFZA), Jebel Ali Free Zone (JAFZA), Dubai Silicon Oasis (DSO) and Dubai International financial center (DIFC). </t>
  </si>
  <si>
    <t>It is mandatory for companies that are engaged in liquidation processes to have the liquidator to produce an audit report.</t>
  </si>
  <si>
    <t>Bank will also be interested in you having proper accounting and financial for larger accounts of may be around 5mio or 10 mio</t>
  </si>
  <si>
    <t>Do the accounting through FTA authorized accounting software.</t>
  </si>
  <si>
    <t>Qiuckbooks, Xero, Zoho Books,Oracle and Sap are quite popular and authorized by FTA.</t>
  </si>
  <si>
    <t>Is a good business exit strategy.</t>
  </si>
  <si>
    <r>
      <t xml:space="preserve">In conclusion, </t>
    </r>
    <r>
      <rPr>
        <b/>
        <sz val="11"/>
        <color theme="1"/>
        <rFont val="Calibri"/>
        <family val="2"/>
        <scheme val="minor"/>
      </rPr>
      <t>limited contracts</t>
    </r>
    <r>
      <rPr>
        <sz val="11"/>
        <color theme="1"/>
        <rFont val="Calibri"/>
        <family val="2"/>
        <scheme val="minor"/>
      </rPr>
      <t xml:space="preserve"> are often more structured with a specific duration, while </t>
    </r>
    <r>
      <rPr>
        <b/>
        <sz val="11"/>
        <color theme="1"/>
        <rFont val="Calibri"/>
        <family val="2"/>
        <scheme val="minor"/>
      </rPr>
      <t>unlimited contracts</t>
    </r>
    <r>
      <rPr>
        <sz val="11"/>
        <color theme="1"/>
        <rFont val="Calibri"/>
        <family val="2"/>
        <scheme val="minor"/>
      </rPr>
      <t xml:space="preserve"> offer greater flexibility and longer-term stability. The choice between the two largely depends on the type of work, employer needs, and employee preferences.</t>
    </r>
  </si>
  <si>
    <r>
      <t>Termination Flexibility</t>
    </r>
    <r>
      <rPr>
        <sz val="11"/>
        <color theme="1"/>
        <rFont val="Calibri"/>
        <family val="2"/>
        <scheme val="minor"/>
      </rPr>
      <t>: Unlimited contracts provide more freedom for both parties to terminate, as long as notice periods and proper procedures are followed.</t>
    </r>
  </si>
  <si>
    <r>
      <t>Gratuity</t>
    </r>
    <r>
      <rPr>
        <sz val="11"/>
        <color theme="1"/>
        <rFont val="Calibri"/>
        <family val="2"/>
        <scheme val="minor"/>
      </rPr>
      <t>: For limited contracts, gratuity is calculated based on the length of service, while for unlimited contracts, gratuity can be calculated differently depending on whether the employee resigns or is terminated.</t>
    </r>
  </si>
  <si>
    <r>
      <t>Stability</t>
    </r>
    <r>
      <rPr>
        <sz val="11"/>
        <color theme="1"/>
        <rFont val="Calibri"/>
        <family val="2"/>
        <scheme val="minor"/>
      </rPr>
      <t>: Unlimited contracts generally offer more job stability, as there's no fixed end date and both parties have more flexibility.</t>
    </r>
  </si>
  <si>
    <t>Key Differences in Practice:</t>
  </si>
  <si>
    <r>
      <t>Gratuity Calculation</t>
    </r>
    <r>
      <rPr>
        <sz val="11"/>
        <color theme="1"/>
        <rFont val="Calibri"/>
        <family val="2"/>
        <scheme val="minor"/>
      </rPr>
      <t>: Similar to a limited contract, the gratuity for an unlimited contract is based on the number of years worked, with the calculation depending on whether the employee resigns or is terminated.</t>
    </r>
  </si>
  <si>
    <r>
      <t>Termination</t>
    </r>
    <r>
      <rPr>
        <sz val="11"/>
        <color theme="1"/>
        <rFont val="Calibri"/>
        <family val="2"/>
        <scheme val="minor"/>
      </rPr>
      <t>: Either the employer or employee can terminate the contract at any time, but specific notice periods must be followed (typically 30 days). If an employee resigns, they may forfeit a portion of their gratuity depending on the years of service. Employers must also provide proper grounds for termination.</t>
    </r>
  </si>
  <si>
    <r>
      <t>Duration</t>
    </r>
    <r>
      <rPr>
        <sz val="11"/>
        <color theme="1"/>
        <rFont val="Calibri"/>
        <family val="2"/>
        <scheme val="minor"/>
      </rPr>
      <t>: An unlimited contract does not specify a fixed term and is ongoing until either party decides to terminate it.</t>
    </r>
  </si>
  <si>
    <t>2. Unlimited Contract:</t>
  </si>
  <si>
    <r>
      <t>Gratuity Calculation</t>
    </r>
    <r>
      <rPr>
        <sz val="11"/>
        <color theme="1"/>
        <rFont val="Calibri"/>
        <family val="2"/>
        <scheme val="minor"/>
      </rPr>
      <t>: Employees on a limited contract are entitled to gratuity based on the number of years served, with different calculations for less than 5 years and more than 5 years of service.</t>
    </r>
  </si>
  <si>
    <r>
      <t>Termination</t>
    </r>
    <r>
      <rPr>
        <sz val="11"/>
        <color theme="1"/>
        <rFont val="Calibri"/>
        <family val="2"/>
        <scheme val="minor"/>
      </rPr>
      <t>: If the contract is terminated before the agreed period, the employer or employee may face penalties or need to pay compensation, depending on the circumstances of the termination.</t>
    </r>
  </si>
  <si>
    <r>
      <t>Duration</t>
    </r>
    <r>
      <rPr>
        <sz val="11"/>
        <color theme="1"/>
        <rFont val="Calibri"/>
        <family val="2"/>
        <scheme val="minor"/>
      </rPr>
      <t>: A limited contract is for a fixed period (e.g., 1 year, 2 years, etc.), agreed upon by both the employer and the employee. Once the contract duration ends, it may either be renewed or allowed to expire.</t>
    </r>
  </si>
  <si>
    <t>1. Limited Contract:</t>
  </si>
  <si>
    <r>
      <t xml:space="preserve">The key difference between a </t>
    </r>
    <r>
      <rPr>
        <b/>
        <sz val="11"/>
        <color theme="1"/>
        <rFont val="Calibri"/>
        <family val="2"/>
        <scheme val="minor"/>
      </rPr>
      <t>limited contract</t>
    </r>
    <r>
      <rPr>
        <sz val="11"/>
        <color theme="1"/>
        <rFont val="Calibri"/>
        <family val="2"/>
        <scheme val="minor"/>
      </rPr>
      <t xml:space="preserve"> and an </t>
    </r>
    <r>
      <rPr>
        <b/>
        <sz val="11"/>
        <color theme="1"/>
        <rFont val="Calibri"/>
        <family val="2"/>
        <scheme val="minor"/>
      </rPr>
      <t>unlimited contract</t>
    </r>
    <r>
      <rPr>
        <sz val="11"/>
        <color theme="1"/>
        <rFont val="Calibri"/>
        <family val="2"/>
        <scheme val="minor"/>
      </rPr>
      <t xml:space="preserve"> employee in the UAE lies in the nature of the contract's duration and termination conditions. Here's a breakdown:</t>
    </r>
  </si>
  <si>
    <t>#EmployeeBenefits #GratuityPayment #UAE #BusinessOwners #Jafza #BusinessSetup #EndOfServiceBenefits #UAEHR #DubaiBusiness #EmployeeRights #LabourLaw #GratuityCalculator #BusinessPlanning</t>
  </si>
  <si>
    <r>
      <t xml:space="preserve">At </t>
    </r>
    <r>
      <rPr>
        <b/>
        <sz val="11"/>
        <color theme="1"/>
        <rFont val="Calibri"/>
        <family val="2"/>
        <scheme val="minor"/>
      </rPr>
      <t>Jafza</t>
    </r>
    <r>
      <rPr>
        <sz val="11"/>
        <color theme="1"/>
        <rFont val="Calibri"/>
        <family val="2"/>
        <scheme val="minor"/>
      </rPr>
      <t xml:space="preserve">, we guide you through these calculations, ensuring compliance with the UAE’s </t>
    </r>
    <r>
      <rPr>
        <b/>
        <sz val="11"/>
        <color theme="1"/>
        <rFont val="Calibri"/>
        <family val="2"/>
        <scheme val="minor"/>
      </rPr>
      <t>Ministry of Labour</t>
    </r>
    <r>
      <rPr>
        <sz val="11"/>
        <color theme="1"/>
        <rFont val="Calibri"/>
        <family val="2"/>
        <scheme val="minor"/>
      </rPr>
      <t xml:space="preserve"> and setting your business up for long-term success.</t>
    </r>
  </si>
  <si>
    <r>
      <t xml:space="preserve">Make sure you're calculating gratuity correctly with tools like the </t>
    </r>
    <r>
      <rPr>
        <b/>
        <sz val="11"/>
        <color theme="1"/>
        <rFont val="Calibri"/>
        <family val="2"/>
        <scheme val="minor"/>
      </rPr>
      <t>Dubai Trade Gratuity Calculator</t>
    </r>
    <r>
      <rPr>
        <sz val="11"/>
        <color theme="1"/>
        <rFont val="Calibri"/>
        <family val="2"/>
        <scheme val="minor"/>
      </rPr>
      <t>.</t>
    </r>
  </si>
  <si>
    <t>Resignation: Partial gratuity based on years of service (1–3 years: 1/3, 3–5 years: 2/3, 5+ years: Full).</t>
  </si>
  <si>
    <t>5+ years: Gratuity based on 30 days’ salary per year.</t>
  </si>
  <si>
    <t>1-5 years: Gratuity based on 21 days’ salary per year.</t>
  </si>
  <si>
    <r>
      <t xml:space="preserve">2️⃣ </t>
    </r>
    <r>
      <rPr>
        <b/>
        <sz val="11"/>
        <color theme="1"/>
        <rFont val="Calibri"/>
        <family val="2"/>
        <scheme val="minor"/>
      </rPr>
      <t>Unlimited Contract Employees</t>
    </r>
    <r>
      <rPr>
        <sz val="11"/>
        <color theme="1"/>
        <rFont val="Calibri"/>
        <family val="2"/>
        <scheme val="minor"/>
      </rPr>
      <t>:</t>
    </r>
  </si>
  <si>
    <r>
      <t xml:space="preserve">1️⃣ </t>
    </r>
    <r>
      <rPr>
        <b/>
        <sz val="11"/>
        <color theme="1"/>
        <rFont val="Calibri"/>
        <family val="2"/>
        <scheme val="minor"/>
      </rPr>
      <t>Limited Contract Employees</t>
    </r>
    <r>
      <rPr>
        <sz val="11"/>
        <color theme="1"/>
        <rFont val="Calibri"/>
        <family val="2"/>
        <scheme val="minor"/>
      </rPr>
      <t>:</t>
    </r>
  </si>
  <si>
    <t>Here’s a breakdown of what you need to know:</t>
  </si>
  <si>
    <r>
      <t xml:space="preserve">🔹 </t>
    </r>
    <r>
      <rPr>
        <b/>
        <sz val="11"/>
        <color theme="1"/>
        <rFont val="Calibri"/>
        <family val="2"/>
        <scheme val="minor"/>
      </rPr>
      <t>For Employees</t>
    </r>
    <r>
      <rPr>
        <sz val="11"/>
        <color theme="1"/>
        <rFont val="Calibri"/>
        <family val="2"/>
        <scheme val="minor"/>
      </rPr>
      <t xml:space="preserve">: As long as you complete a minimum of </t>
    </r>
    <r>
      <rPr>
        <b/>
        <sz val="11"/>
        <color theme="1"/>
        <rFont val="Calibri"/>
        <family val="2"/>
        <scheme val="minor"/>
      </rPr>
      <t>one year of continuous service</t>
    </r>
    <r>
      <rPr>
        <sz val="11"/>
        <color theme="1"/>
        <rFont val="Calibri"/>
        <family val="2"/>
        <scheme val="minor"/>
      </rPr>
      <t xml:space="preserve"> and serve your notice period, you're entitled to a gratuity payment calculated on your </t>
    </r>
    <r>
      <rPr>
        <b/>
        <sz val="11"/>
        <color theme="1"/>
        <rFont val="Calibri"/>
        <family val="2"/>
        <scheme val="minor"/>
      </rPr>
      <t>last basic salary</t>
    </r>
    <r>
      <rPr>
        <sz val="11"/>
        <color theme="1"/>
        <rFont val="Calibri"/>
        <family val="2"/>
        <scheme val="minor"/>
      </rPr>
      <t>.</t>
    </r>
  </si>
  <si>
    <r>
      <t xml:space="preserve">🔹 </t>
    </r>
    <r>
      <rPr>
        <b/>
        <sz val="11"/>
        <color theme="1"/>
        <rFont val="Calibri"/>
        <family val="2"/>
        <scheme val="minor"/>
      </rPr>
      <t>For Business Owners</t>
    </r>
    <r>
      <rPr>
        <sz val="11"/>
        <color theme="1"/>
        <rFont val="Calibri"/>
        <family val="2"/>
        <scheme val="minor"/>
      </rPr>
      <t xml:space="preserve">: Including end-of-service benefits in your business plan is essential. Ensure that you account for gratuity payments for all employees registered under your company at </t>
    </r>
    <r>
      <rPr>
        <b/>
        <sz val="11"/>
        <color theme="1"/>
        <rFont val="Calibri"/>
        <family val="2"/>
        <scheme val="minor"/>
      </rPr>
      <t>Jafza</t>
    </r>
    <r>
      <rPr>
        <sz val="11"/>
        <color theme="1"/>
        <rFont val="Calibri"/>
        <family val="2"/>
        <scheme val="minor"/>
      </rPr>
      <t xml:space="preserve"> to remain compliant with UAE regulations.</t>
    </r>
  </si>
  <si>
    <r>
      <t xml:space="preserve">If you're a business owner or employee in the UAE, it’s important to understand the significance of </t>
    </r>
    <r>
      <rPr>
        <b/>
        <sz val="11"/>
        <color theme="1"/>
        <rFont val="Calibri"/>
        <family val="2"/>
        <scheme val="minor"/>
      </rPr>
      <t>gratuity payments</t>
    </r>
    <r>
      <rPr>
        <sz val="11"/>
        <color theme="1"/>
        <rFont val="Calibri"/>
        <family val="2"/>
        <scheme val="minor"/>
      </rPr>
      <t xml:space="preserve"> (end-of-service benefits), a key component of UAE labor law. Whether you're just starting out or planning for retirement, this benefit plays a crucial role in ensuring financial security for employees.</t>
    </r>
  </si>
  <si>
    <t>Post:</t>
  </si>
  <si>
    <r>
      <t>Understanding End-of-Service Benefits in the UAE: A Must-Know for Jafza Business Owners and Employees</t>
    </r>
    <r>
      <rPr>
        <sz val="11"/>
        <color theme="1"/>
        <rFont val="Calibri"/>
        <family val="2"/>
        <scheme val="minor"/>
      </rPr>
      <t xml:space="preserve"> 🌟</t>
    </r>
  </si>
  <si>
    <t>1. Business no longer making taxable supplies</t>
  </si>
  <si>
    <t>Cancellation of the license</t>
  </si>
  <si>
    <t>• Latest financial statement of the business - Trail Balance, P&amp;L statement, or Balance Sheet (Audited or Unaudited)</t>
  </si>
  <si>
    <t>• Letter from ministry of labour confirming the number of employees</t>
  </si>
  <si>
    <t>• Old and amended sales contract or license</t>
  </si>
  <si>
    <t>• Amended company set-up contract</t>
  </si>
  <si>
    <t>• Financial turnover template (taxable income and expenses from the date of actual registration)</t>
  </si>
  <si>
    <t>• Document proving the proof of cessation of the business activities</t>
  </si>
  <si>
    <t>• Official letter and undertaking that the person acknowledges that he will not make any taxable supplies in the next 30 days</t>
  </si>
  <si>
    <t>The company is making supplies that are outside the scope of VAT or exempt</t>
  </si>
  <si>
    <t>• Sample of invoices to confirm that the sales are out of scope</t>
  </si>
  <si>
    <t>Below the voluntary registration limit</t>
  </si>
  <si>
    <t>• Financial turnover template (taxable income and expenses from the date of actual registration</t>
  </si>
  <si>
    <t>• Signed and sealed official letter acknowledging the absence of business within the UAE</t>
  </si>
  <si>
    <t>• Revenues exceed the voluntary registration limit but below the mandatory registration limit</t>
  </si>
  <si>
    <t>• Sample of invoices</t>
  </si>
  <si>
    <t>•Revenues exceed the voluntary registration limit but below the mandatory registration limit</t>
  </si>
  <si>
    <t>• Official letter with date and stamp that the business shall not exceed the VAT registration threshold limit within the next 30 days</t>
  </si>
  <si>
    <t>4.Others</t>
  </si>
  <si>
    <t>Duplicate TRN</t>
  </si>
  <si>
    <t>• Mention the TRN that is used</t>
  </si>
  <si>
    <t>• Attach an official letter from the company stamped and signed stating that the returns will be submitted by the TRN used</t>
  </si>
  <si>
    <t>Branch</t>
  </si>
  <si>
    <t>• TRN Certificate of Head Office business</t>
  </si>
  <si>
    <t>• Attach an official letter from the company stamped and its website stating that the declarations will be submitted by the TRN of the parent company</t>
  </si>
  <si>
    <t>Individual institution</t>
  </si>
  <si>
    <t>• stating all the individual institutions registered in the VAT in addition to the TRNs if any and be sure to submit all the declaration</t>
  </si>
  <si>
    <t>Financial turnover template (taxable income and expenses from the date of actual registration</t>
  </si>
  <si>
    <t>(Accepted file types are PDF, Excel, Docs, JPG, PNG and JPEG. The individual file size limit is 5 MB).</t>
  </si>
  <si>
    <t>VAT - Deregistration Requirements</t>
  </si>
  <si>
    <t>In case of  --&gt;Sale of license</t>
  </si>
  <si>
    <t>In Case of --&gt; Sole Propeiretorship (Natural person)</t>
  </si>
  <si>
    <t>In Case of --&gt; Out of Scope Sales</t>
  </si>
  <si>
    <t>• Official declaration on company’s letter head along with date and stamp confirming that the business shall not exceed the VAT registration threshold limit within the next 30 days</t>
  </si>
  <si>
    <t>2. Below 187500 AED Sales</t>
  </si>
  <si>
    <t>3. Business making taxable supplies exceeding the voluntary registration threshold limit of AED 187,500 but below the mandatory registration threshold limit of AED 375,000</t>
  </si>
  <si>
    <t>• An official letter signed and stamped (does not require a stamp in the event that the registrant is a natural person)</t>
  </si>
  <si>
    <t xml:space="preserve">a. Cancelled Trade license copy, </t>
  </si>
  <si>
    <t>e. Letter from ministry of labour confirming the number of employees</t>
  </si>
  <si>
    <t xml:space="preserve">b. Liquidation letter, </t>
  </si>
  <si>
    <t>c. Board resolution,</t>
  </si>
  <si>
    <t>d. Latest financial statement of the business - Trail Balance, P&amp;L statement, or Balance Sheet (Audited or Unaudited),</t>
  </si>
  <si>
    <t>List of documents that are required for making an application to deregister yourself from Corporate Tax are provided below:</t>
  </si>
  <si>
    <t>Sale of business</t>
  </si>
  <si>
    <t>Documentary evidence proving the Sale of the business</t>
  </si>
  <si>
    <t>Merger of business</t>
  </si>
  <si>
    <t>Documentary evidence proving the Merger of the business</t>
  </si>
  <si>
    <t>Re-domiciliation of the business</t>
  </si>
  <si>
    <t>Documentary evidence proving the Re-domiciliation of the business</t>
  </si>
  <si>
    <t>Cessation of business</t>
  </si>
  <si>
    <t>Documentary evidence proving the cessation of the business</t>
  </si>
  <si>
    <t>Other</t>
  </si>
  <si>
    <t>Other relevant documents</t>
  </si>
  <si>
    <t>(Accepted file types are PDF, DOC and DOCX. The individual file size limit is 15 MB)</t>
  </si>
  <si>
    <t>Documents</t>
  </si>
  <si>
    <t>No, Small Business Relief is not applicable to non-resident persons in the UAE. This relief is only available to resident taxable persons who meet the eligibility criteria, such as having revenue of AED 3,000,000 or less. Non-resident businesses do not qualify for this benefit.
Even the PEs in UAE of Non-Resident would not be eligible for Small Business Releif as they are not considered as Resident Persons</t>
  </si>
  <si>
    <t>Deductible and Non-Deductible Expenses</t>
  </si>
  <si>
    <t>Key Highlights from the UAE Corporate Tax Law Guide:</t>
  </si>
  <si>
    <t>1. Interest Deduction Limitation:</t>
  </si>
  <si>
    <t>The guide explains the rules for limiting interest deductions based on the UAE Corporate Tax (CT) Law and Ministerial Decision No. 126 of 2023.</t>
  </si>
  <si>
    <t>It provides examples of how to calculate the net interest expenditure and adjusted EBITDA to determine the deductible interest, with specific scenarios for different types of interest expenses.</t>
  </si>
  <si>
    <t>2. Interest on Loans from Related Parties:</t>
  </si>
  <si>
    <t>Interest on loans from related parties (e.g., for dividends or capital transactions) is generally not deductible, unless it’s proven that the loan wasn’t taken to gain a CT advantage.</t>
  </si>
  <si>
    <t>If the related party is taxed at a rate of at least 9% on interest income in a foreign country, then there’s no CT advantage, and the interest can be deducted.</t>
  </si>
  <si>
    <t>3. Tax Loss Relief and Carryforward:</t>
  </si>
  <si>
    <t>The guide explains how tax losses can be used or carried forward within a tax period and across group companies.</t>
  </si>
  <si>
    <t>It provides examples of how changes in ownership or business activity (over 50%) can lead to the loss of tax benefits, causing tax losses to be forfeited.</t>
  </si>
  <si>
    <t>4. Provisions for Expenses and Bad Debts:</t>
  </si>
  <si>
    <t>Provisions for expenses or bad debts, created under accounting standards (like IFRS), are deductible unless they relate to fines or illegal payments.</t>
  </si>
  <si>
    <t>If a provision for expenses or bad debts is reversed in later years, it will be treated as taxable income, in line with the accounting treatment.</t>
  </si>
  <si>
    <t>5. Profit Attribution to Permanent Establishment (PE):</t>
  </si>
  <si>
    <t>When a foreign company creates a Permanent Establishment (PE) in the UAE, it must treat the PE as a separate entity and allocate profits and expenses accordingly.</t>
  </si>
  <si>
    <t>This requires a functional analysis and the use of arm’s length pricing, as outlined in the UAE Transfer Pricing and CT Guides.</t>
  </si>
  <si>
    <t>Deductible Expenses</t>
  </si>
  <si>
    <t>Non-Deductible Expenses</t>
  </si>
  <si>
    <t>Entertainment Expenses</t>
  </si>
  <si>
    <t>• Entertainment for employees, such as staff parties, off-site events/away-days or rewards for meeting performance targets, etc. 
• Incidental expenses, for example refreshments provided in a business meeting during an office setting or retailer providing complimentary refreshments to potential customers. 
• Taxpayers who are in the business of commercial hospitality and provide entertainment in the ordinary course of business, such as hotels providing mid week promotions, entertainment by airlines. or in-flight 
• Marketing and advertising expenditure such as a restaurant giving a free meal to a food critic, a spa providing free entry to an influencer, a trial run of hotel facilities provided to a potential bulk buyer of the product, etc. 
• Purchasing a booth at a trade show to display the company’s new product line.</t>
  </si>
  <si>
    <t>The following expenditure is completely disallowed from a CT standpoint: 
• Expenditure relating family members’ private events (e.g. weddings) who happen to also be staff. 
• Entertainment expenses for shareholders' family members. The following are subject to 50% disallowance: • Entertainment expenses for business partners. 
• Refreshments provided at a restaurant. 
• Complimentary stay provided to business partners at hotels by a hospitality company. 
• Discretionary costs of providing hospitality at an event (such as meals, a musical performance, or accommodation). 
• Cost of taking a group of clients to a sporting event and providing them with tickets, meals, and drinks in a corporate box.</t>
  </si>
  <si>
    <t>Employee costs</t>
  </si>
  <si>
    <t>Salary or Bonus Paid to Directors, Officers, or Owners:
Under UAE Corporate Tax Law, salary or bonuses paid to directors, officers, or owners of a company (referred to as "Connected Persons") are deductible, provided they meet the following conditions:
Market Value Rates: The salary or bonus must correspond to market value rates for similar services rendered. This means that the compensation should be reasonable and in line with what is typically paid for similar roles in the market.
Arm’s Length Standard: The payments must follow the arm’s length principle, meaning the compensation should be similar to what independent third parties would agree to for the same services.</t>
  </si>
  <si>
    <t>Payments to Connected Persons</t>
  </si>
  <si>
    <t xml:space="preserve"> Any amounts paid to the Executive 
Director as an employee, assuming the 
payments to directors-shareholders are 
at arm’s length. </t>
  </si>
  <si>
    <t>Expenditure which is capital in nature</t>
  </si>
  <si>
    <t>If a company’s accounting policy states that certain low-value capital items (even if they have a useful life of two years) are not capitalized and instead charged directly to the income statement in a specific tax period, then this accounting treatment should be followed for tax purposes as well.</t>
  </si>
  <si>
    <t>Pre incorporation expenses</t>
  </si>
  <si>
    <t>Pre-incorporation expenses, such as professional fees and registration fees incurred by shareholders to set up a company, can be reimbursed by the company. If these expenses are expensed in the first financial year (the current tax period) according to IFRS, they should be treated as business expenses for tax purposes as well.</t>
  </si>
  <si>
    <t>Expenses relating to Exempt Income</t>
  </si>
  <si>
    <t>Due diligence fees or commission paid for acquiring shares in Participating Interests (investments that generate Exempt Income) are generally not deductible for tax purposes. Since the income from these investments is exempt from tax, the associated costs (like due diligence or commission fees) cannot be claimed as a tax deduction.</t>
  </si>
  <si>
    <t>Other Expenses</t>
  </si>
  <si>
    <t xml:space="preserve"> Local taxes that are not in the nature of 
CT, such as municipal and property taxes. 
• Zakat paid to a Qualifying Public Benefit 
Entity. 
• Head office expenses incurred by an 
overseas entity that are allocated to the 
overseas entity’s UAE operations. </t>
  </si>
  <si>
    <t>Key Takeaways from UAE Corporate Tax Guide:</t>
  </si>
  <si>
    <t>Accounting Treatment for Taxable Income:</t>
  </si>
  <si>
    <r>
      <t xml:space="preserve">Expenses treated in the financial statements according to </t>
    </r>
    <r>
      <rPr>
        <b/>
        <sz val="11"/>
        <color theme="1"/>
        <rFont val="Calibri"/>
        <family val="2"/>
        <scheme val="minor"/>
      </rPr>
      <t>IFRS/IFRS for SMEs</t>
    </r>
    <r>
      <rPr>
        <sz val="11"/>
        <color theme="1"/>
        <rFont val="Calibri"/>
        <family val="2"/>
        <scheme val="minor"/>
      </rPr>
      <t xml:space="preserve"> will generally be followed for computing </t>
    </r>
    <r>
      <rPr>
        <b/>
        <sz val="11"/>
        <color theme="1"/>
        <rFont val="Calibri"/>
        <family val="2"/>
        <scheme val="minor"/>
      </rPr>
      <t>Taxable Income</t>
    </r>
    <r>
      <rPr>
        <sz val="11"/>
        <color theme="1"/>
        <rFont val="Calibri"/>
        <family val="2"/>
        <scheme val="minor"/>
      </rPr>
      <t>.</t>
    </r>
  </si>
  <si>
    <t>Non-Deductible Fines &amp; Penalties:</t>
  </si>
  <si>
    <r>
      <t xml:space="preserve">Fines/penalties for non-compliance, or payments for legal breaches, are </t>
    </r>
    <r>
      <rPr>
        <b/>
        <sz val="11"/>
        <color theme="1"/>
        <rFont val="Calibri"/>
        <family val="2"/>
        <scheme val="minor"/>
      </rPr>
      <t>non-deductible</t>
    </r>
    <r>
      <rPr>
        <sz val="11"/>
        <color theme="1"/>
        <rFont val="Calibri"/>
        <family val="2"/>
        <scheme val="minor"/>
      </rPr>
      <t xml:space="preserve"> for Corporate Tax (CT), even if incurred during regular business activities.</t>
    </r>
  </si>
  <si>
    <r>
      <t>Depreciation</t>
    </r>
    <r>
      <rPr>
        <sz val="11"/>
        <color theme="1"/>
        <rFont val="Calibri"/>
        <family val="2"/>
        <scheme val="minor"/>
      </rPr>
      <t xml:space="preserve"> is deductible only for capital expenditures that would be deductible if they were not capital in nature.</t>
    </r>
  </si>
  <si>
    <r>
      <t xml:space="preserve">If non-deductible fines/penalties are included in an asset’s cost, </t>
    </r>
    <r>
      <rPr>
        <b/>
        <sz val="11"/>
        <color theme="1"/>
        <rFont val="Calibri"/>
        <family val="2"/>
        <scheme val="minor"/>
      </rPr>
      <t>depreciation related to them is also non-deductible</t>
    </r>
    <r>
      <rPr>
        <sz val="11"/>
        <color theme="1"/>
        <rFont val="Calibri"/>
        <family val="2"/>
        <scheme val="minor"/>
      </rPr>
      <t>.</t>
    </r>
  </si>
  <si>
    <t>Arm's Length Standard:</t>
  </si>
  <si>
    <r>
      <t xml:space="preserve">All transactions with </t>
    </r>
    <r>
      <rPr>
        <b/>
        <sz val="11"/>
        <color theme="1"/>
        <rFont val="Calibri"/>
        <family val="2"/>
        <scheme val="minor"/>
      </rPr>
      <t>related parties</t>
    </r>
    <r>
      <rPr>
        <sz val="11"/>
        <color theme="1"/>
        <rFont val="Calibri"/>
        <family val="2"/>
        <scheme val="minor"/>
      </rPr>
      <t xml:space="preserve"> and </t>
    </r>
    <r>
      <rPr>
        <b/>
        <sz val="11"/>
        <color theme="1"/>
        <rFont val="Calibri"/>
        <family val="2"/>
        <scheme val="minor"/>
      </rPr>
      <t>connected persons</t>
    </r>
    <r>
      <rPr>
        <sz val="11"/>
        <color theme="1"/>
        <rFont val="Calibri"/>
        <family val="2"/>
        <scheme val="minor"/>
      </rPr>
      <t xml:space="preserve"> must adhere to the </t>
    </r>
    <r>
      <rPr>
        <b/>
        <sz val="11"/>
        <color theme="1"/>
        <rFont val="Calibri"/>
        <family val="2"/>
        <scheme val="minor"/>
      </rPr>
      <t>arm’s length principle</t>
    </r>
    <r>
      <rPr>
        <sz val="11"/>
        <color theme="1"/>
        <rFont val="Calibri"/>
        <family val="2"/>
        <scheme val="minor"/>
      </rPr>
      <t>.</t>
    </r>
  </si>
  <si>
    <r>
      <t xml:space="preserve">UAE branches or </t>
    </r>
    <r>
      <rPr>
        <b/>
        <sz val="11"/>
        <color theme="1"/>
        <rFont val="Calibri"/>
        <family val="2"/>
        <scheme val="minor"/>
      </rPr>
      <t>Permanent Establishments (PEs)</t>
    </r>
    <r>
      <rPr>
        <sz val="11"/>
        <color theme="1"/>
        <rFont val="Calibri"/>
        <family val="2"/>
        <scheme val="minor"/>
      </rPr>
      <t xml:space="preserve"> of foreign companies must follow this principle in dealings with their head offices.</t>
    </r>
  </si>
  <si>
    <t>Deductibility of Expenses:</t>
  </si>
  <si>
    <r>
      <t xml:space="preserve">Expenses must be </t>
    </r>
    <r>
      <rPr>
        <b/>
        <sz val="11"/>
        <color theme="1"/>
        <rFont val="Calibri"/>
        <family val="2"/>
        <scheme val="minor"/>
      </rPr>
      <t>incurred for the business purpose</t>
    </r>
    <r>
      <rPr>
        <sz val="11"/>
        <color theme="1"/>
        <rFont val="Calibri"/>
        <family val="2"/>
        <scheme val="minor"/>
      </rPr>
      <t xml:space="preserve"> of the taxable entity to be deductible.</t>
    </r>
  </si>
  <si>
    <r>
      <t>Entertainment</t>
    </r>
    <r>
      <rPr>
        <sz val="11"/>
        <color theme="1"/>
        <rFont val="Calibri"/>
        <family val="2"/>
        <scheme val="minor"/>
      </rPr>
      <t xml:space="preserve"> and </t>
    </r>
    <r>
      <rPr>
        <b/>
        <sz val="11"/>
        <color theme="1"/>
        <rFont val="Calibri"/>
        <family val="2"/>
        <scheme val="minor"/>
      </rPr>
      <t>interest expenses</t>
    </r>
    <r>
      <rPr>
        <sz val="11"/>
        <color theme="1"/>
        <rFont val="Calibri"/>
        <family val="2"/>
        <scheme val="minor"/>
      </rPr>
      <t xml:space="preserve"> are limited in terms of deductibility and cannot cover non-business costs.</t>
    </r>
  </si>
  <si>
    <t>Qualifying Business Activity Incentives:</t>
  </si>
  <si>
    <r>
      <t xml:space="preserve">Expect more information on </t>
    </r>
    <r>
      <rPr>
        <b/>
        <sz val="11"/>
        <color theme="1"/>
        <rFont val="Calibri"/>
        <family val="2"/>
        <scheme val="minor"/>
      </rPr>
      <t>incentives and special reliefs</t>
    </r>
    <r>
      <rPr>
        <sz val="11"/>
        <color theme="1"/>
        <rFont val="Calibri"/>
        <family val="2"/>
        <scheme val="minor"/>
      </rPr>
      <t xml:space="preserve"> for </t>
    </r>
    <r>
      <rPr>
        <b/>
        <sz val="11"/>
        <color theme="1"/>
        <rFont val="Calibri"/>
        <family val="2"/>
        <scheme val="minor"/>
      </rPr>
      <t>Qualifying Business Activities</t>
    </r>
    <r>
      <rPr>
        <sz val="11"/>
        <color theme="1"/>
        <rFont val="Calibri"/>
        <family val="2"/>
        <scheme val="minor"/>
      </rPr>
      <t xml:space="preserve"> to be published soon under the CT Law.</t>
    </r>
  </si>
  <si>
    <t>Implementation of Tax Rules:</t>
  </si>
  <si>
    <r>
      <t xml:space="preserve">The guide provides clear </t>
    </r>
    <r>
      <rPr>
        <b/>
        <sz val="11"/>
        <color theme="1"/>
        <rFont val="Calibri"/>
        <family val="2"/>
        <scheme val="minor"/>
      </rPr>
      <t>computation mechanisms</t>
    </r>
    <r>
      <rPr>
        <sz val="11"/>
        <color theme="1"/>
        <rFont val="Calibri"/>
        <family val="2"/>
        <scheme val="minor"/>
      </rPr>
      <t xml:space="preserve"> and checklists for </t>
    </r>
    <r>
      <rPr>
        <b/>
        <sz val="11"/>
        <color theme="1"/>
        <rFont val="Calibri"/>
        <family val="2"/>
        <scheme val="minor"/>
      </rPr>
      <t>applying tax rules</t>
    </r>
    <r>
      <rPr>
        <sz val="11"/>
        <color theme="1"/>
        <rFont val="Calibri"/>
        <family val="2"/>
        <scheme val="minor"/>
      </rPr>
      <t xml:space="preserve"> effectively in the UAE.</t>
    </r>
  </si>
  <si>
    <r>
      <t xml:space="preserve">It should be read alongside the </t>
    </r>
    <r>
      <rPr>
        <b/>
        <sz val="11"/>
        <color theme="1"/>
        <rFont val="Calibri"/>
        <family val="2"/>
        <scheme val="minor"/>
      </rPr>
      <t>Corporate Tax Law</t>
    </r>
    <r>
      <rPr>
        <sz val="11"/>
        <color theme="1"/>
        <rFont val="Calibri"/>
        <family val="2"/>
        <scheme val="minor"/>
      </rPr>
      <t xml:space="preserve">, </t>
    </r>
    <r>
      <rPr>
        <b/>
        <sz val="11"/>
        <color theme="1"/>
        <rFont val="Calibri"/>
        <family val="2"/>
        <scheme val="minor"/>
      </rPr>
      <t>implementing decisions</t>
    </r>
    <r>
      <rPr>
        <sz val="11"/>
        <color theme="1"/>
        <rFont val="Calibri"/>
        <family val="2"/>
        <scheme val="minor"/>
      </rPr>
      <t xml:space="preserve">, and </t>
    </r>
    <r>
      <rPr>
        <b/>
        <sz val="11"/>
        <color theme="1"/>
        <rFont val="Calibri"/>
        <family val="2"/>
        <scheme val="minor"/>
      </rPr>
      <t>FTA guidance</t>
    </r>
    <r>
      <rPr>
        <sz val="11"/>
        <color theme="1"/>
        <rFont val="Calibri"/>
        <family val="2"/>
        <scheme val="minor"/>
      </rPr>
      <t>.</t>
    </r>
  </si>
  <si>
    <t>Next Steps:</t>
  </si>
  <si>
    <r>
      <t xml:space="preserve">All </t>
    </r>
    <r>
      <rPr>
        <b/>
        <sz val="11"/>
        <color theme="1"/>
        <rFont val="Calibri"/>
        <family val="2"/>
        <scheme val="minor"/>
      </rPr>
      <t>Taxable Persons</t>
    </r>
    <r>
      <rPr>
        <sz val="11"/>
        <color theme="1"/>
        <rFont val="Calibri"/>
        <family val="2"/>
        <scheme val="minor"/>
      </rPr>
      <t xml:space="preserve"> should assess their potential </t>
    </r>
    <r>
      <rPr>
        <b/>
        <sz val="11"/>
        <color theme="1"/>
        <rFont val="Calibri"/>
        <family val="2"/>
        <scheme val="minor"/>
      </rPr>
      <t>CT liability</t>
    </r>
    <r>
      <rPr>
        <sz val="11"/>
        <color theme="1"/>
        <rFont val="Calibri"/>
        <family val="2"/>
        <scheme val="minor"/>
      </rPr>
      <t xml:space="preserve"> for the first tax period, using the </t>
    </r>
    <r>
      <rPr>
        <b/>
        <sz val="11"/>
        <color theme="1"/>
        <rFont val="Calibri"/>
        <family val="2"/>
        <scheme val="minor"/>
      </rPr>
      <t>case studies</t>
    </r>
    <r>
      <rPr>
        <sz val="11"/>
        <color theme="1"/>
        <rFont val="Calibri"/>
        <family val="2"/>
        <scheme val="minor"/>
      </rPr>
      <t xml:space="preserve"> provided in the Guide.</t>
    </r>
  </si>
  <si>
    <t>Juridical person</t>
  </si>
  <si>
    <t>• For TRC purposes, juridical persons are treated as tax residents under domestic law if they are incorporated or recognized in the UAE (including in free zones), or deemed tax resident persons under relevant laws (e.g., CT law) such as a non-UAE entity having its PoEM in the UAE. 
• Exempt Persons under Article 4 of the CT law though not regarded as Resident Persons for CT purposes, would be treated as Tax Residents for TRC purposes.</t>
  </si>
  <si>
    <t>Natural person</t>
  </si>
  <si>
    <t>• In alignment with Cabinet Decision No. 85 of 2022, an individual will be considered a Tax Resident if 
they meet any of the following criteria: 
− 183-day rule: physically present in the UAE for 183 days or more within 12 consecutive months 
− 90-day rule: physically present in the UAE for at least 90 days within 12 consecutive months and 
is either a UAE or a GCC national, or holds a valid UAE resident permit; or has a permanent place 
of residence in the UAE or carries on employment or business in the UAE 
− Primary residence and interests: usual or primary place of residence and center of financial and 
personal interests are in the UAE 
• The Guide presents several illustrative examples of scenarios in which a natural person qualifies as a 
tax resident under domestic laws for TRC purposes.</t>
  </si>
  <si>
    <t>Tax Residency under DTA</t>
  </si>
  <si>
    <t xml:space="preserve">• Each DTA has its own rules for determining tax residency, which may differ from the criteria for 
determining who is a UAE Tax Resident under domestic law, or a Resident Person under the CT law. 
Tax Residency is assessed case-by-case, based on the specific DTA's terms, facts, and 
circumstances, to determine whether a juridical or natural person qualifies as a Tax Resident in a 
particular country and therefore is eligible for obtaining a TRC. </t>
  </si>
  <si>
    <t>Obtaining a Tax Residency Certificate</t>
  </si>
  <si>
    <t>• The Guide outlines the criteria and procedures for obtaining a TRC. A TRC can only be requested for 
the current or a previous tax period. For applications related to the current period, the FTA will process 
them as follows: 
− Juridical person: after 3 months into the period 
− Government entities and government-controlled entities: one day into the period 
− Natural person: as soon as the criteria to be a Tax Resident are met</t>
  </si>
  <si>
    <t>− A TRC cannot be issued for future periods or for more than 12 months 
− Newly incorporated companies must complete 12 months of establishment before becoming 
eligible to apply for a TRC, especially if they have not yet filed a CT return</t>
  </si>
  <si>
    <t>1. Categories of UAE Residents for CT Law:</t>
  </si>
  <si>
    <t>The UAE Corporate Tax (CT) Guide defines three types of residents:</t>
  </si>
  <si>
    <t>Tax Resident for TRC (Tax Residency Certificate) purposes under CT law.</t>
  </si>
  <si>
    <t>Examples:</t>
  </si>
  <si>
    <t>2. Obtaining a Tax Residency Certificate (TRC):</t>
  </si>
  <si>
    <t>TRCs can be obtained for different purposes: one for UAE CT law and another for DTA purposes.</t>
  </si>
  <si>
    <t>3. Determining Place of Effective Management (PoEM) for Non-Residents:</t>
  </si>
  <si>
    <t>4. Dividend Exemption for Shareholders of Exempt Entities:</t>
  </si>
  <si>
    <t>Tax Residency under the UAE domestic law</t>
  </si>
  <si>
    <t>B</t>
  </si>
  <si>
    <t>C</t>
  </si>
  <si>
    <t>D</t>
  </si>
  <si>
    <t>E</t>
  </si>
  <si>
    <t>A</t>
  </si>
  <si>
    <t>Resident Person under the UAE Corporate Tax law</t>
  </si>
  <si>
    <t>1. Juridical Person:</t>
  </si>
  <si>
    <t>Branches:</t>
  </si>
  <si>
    <t>2. Place of Effective Management (PoEM):</t>
  </si>
  <si>
    <t>Key Management and Commercial Decisions (KMCD):</t>
  </si>
  <si>
    <t>Two-Step PoEM Determination:</t>
  </si>
  <si>
    <t>Virtual or Hybrid Meetings:</t>
  </si>
  <si>
    <t>The guide explains that virtual meetings or decisions made via email/written resolutions still require consideration of factors like the frequency of virtual meetings, the physical presence of directors, and where decisions are made.</t>
  </si>
  <si>
    <t>3. Natural Person:</t>
  </si>
  <si>
    <t>Corporate Tax Guide on Tax Resident and Tax Residency Certificate</t>
  </si>
  <si>
    <r>
      <t>Resident Persons:</t>
    </r>
    <r>
      <rPr>
        <sz val="12"/>
        <color theme="1"/>
        <rFont val="Calibri"/>
        <family val="2"/>
        <scheme val="minor"/>
      </rPr>
      <t xml:space="preserve"> Any juridical person (company or legal entity) incorporated or recognized under UAE law, including offshore companies, will be treated as a </t>
    </r>
    <r>
      <rPr>
        <b/>
        <sz val="12"/>
        <color theme="1"/>
        <rFont val="Calibri"/>
        <family val="2"/>
        <scheme val="minor"/>
      </rPr>
      <t>Resident Person</t>
    </r>
    <r>
      <rPr>
        <sz val="12"/>
        <color theme="1"/>
        <rFont val="Calibri"/>
        <family val="2"/>
        <scheme val="minor"/>
      </rPr>
      <t xml:space="preserve"> for UAE CT purposes, regardless of where its effective management and control occur.</t>
    </r>
  </si>
  <si>
    <r>
      <t xml:space="preserve">A </t>
    </r>
    <r>
      <rPr>
        <b/>
        <sz val="12"/>
        <color theme="1"/>
        <rFont val="Calibri"/>
        <family val="2"/>
        <scheme val="minor"/>
      </rPr>
      <t>UAE branch</t>
    </r>
    <r>
      <rPr>
        <sz val="12"/>
        <color theme="1"/>
        <rFont val="Calibri"/>
        <family val="2"/>
        <scheme val="minor"/>
      </rPr>
      <t xml:space="preserve"> of a UAE juridical person is treated as a </t>
    </r>
    <r>
      <rPr>
        <b/>
        <sz val="12"/>
        <color theme="1"/>
        <rFont val="Calibri"/>
        <family val="2"/>
        <scheme val="minor"/>
      </rPr>
      <t>Resident Person</t>
    </r>
    <r>
      <rPr>
        <sz val="12"/>
        <color theme="1"/>
        <rFont val="Calibri"/>
        <family val="2"/>
        <scheme val="minor"/>
      </rPr>
      <t xml:space="preserve"> since it’s an extension of its head office.</t>
    </r>
  </si>
  <si>
    <r>
      <t xml:space="preserve">A </t>
    </r>
    <r>
      <rPr>
        <b/>
        <sz val="12"/>
        <color theme="1"/>
        <rFont val="Calibri"/>
        <family val="2"/>
        <scheme val="minor"/>
      </rPr>
      <t>UAE branch</t>
    </r>
    <r>
      <rPr>
        <sz val="12"/>
        <color theme="1"/>
        <rFont val="Calibri"/>
        <family val="2"/>
        <scheme val="minor"/>
      </rPr>
      <t xml:space="preserve"> of a foreign entity is considered a </t>
    </r>
    <r>
      <rPr>
        <b/>
        <sz val="12"/>
        <color theme="1"/>
        <rFont val="Calibri"/>
        <family val="2"/>
        <scheme val="minor"/>
      </rPr>
      <t>non-resident</t>
    </r>
    <r>
      <rPr>
        <sz val="12"/>
        <color theme="1"/>
        <rFont val="Calibri"/>
        <family val="2"/>
        <scheme val="minor"/>
      </rPr>
      <t xml:space="preserve"> for UAE CT purposes.</t>
    </r>
  </si>
  <si>
    <r>
      <t xml:space="preserve">A branch of a foreign company in a UAE </t>
    </r>
    <r>
      <rPr>
        <b/>
        <sz val="12"/>
        <color theme="1"/>
        <rFont val="Calibri"/>
        <family val="2"/>
        <scheme val="minor"/>
      </rPr>
      <t>free zone</t>
    </r>
    <r>
      <rPr>
        <sz val="12"/>
        <color theme="1"/>
        <rFont val="Calibri"/>
        <family val="2"/>
        <scheme val="minor"/>
      </rPr>
      <t xml:space="preserve"> is considered part of the foreign parent company, but for </t>
    </r>
    <r>
      <rPr>
        <b/>
        <sz val="12"/>
        <color theme="1"/>
        <rFont val="Calibri"/>
        <family val="2"/>
        <scheme val="minor"/>
      </rPr>
      <t>tax residency</t>
    </r>
    <r>
      <rPr>
        <sz val="12"/>
        <color theme="1"/>
        <rFont val="Calibri"/>
        <family val="2"/>
        <scheme val="minor"/>
      </rPr>
      <t xml:space="preserve"> purposes, it’s treated as </t>
    </r>
    <r>
      <rPr>
        <b/>
        <sz val="12"/>
        <color theme="1"/>
        <rFont val="Calibri"/>
        <family val="2"/>
        <scheme val="minor"/>
      </rPr>
      <t>non-resident</t>
    </r>
    <r>
      <rPr>
        <sz val="12"/>
        <color theme="1"/>
        <rFont val="Calibri"/>
        <family val="2"/>
        <scheme val="minor"/>
      </rPr>
      <t>.</t>
    </r>
  </si>
  <si>
    <r>
      <t>Exempt Persons:</t>
    </r>
    <r>
      <rPr>
        <sz val="12"/>
        <color theme="1"/>
        <rFont val="Calibri"/>
        <family val="2"/>
        <scheme val="minor"/>
      </rPr>
      <t xml:space="preserve"> Entities listed as </t>
    </r>
    <r>
      <rPr>
        <b/>
        <sz val="12"/>
        <color theme="1"/>
        <rFont val="Calibri"/>
        <family val="2"/>
        <scheme val="minor"/>
      </rPr>
      <t>Exempt Persons</t>
    </r>
    <r>
      <rPr>
        <sz val="12"/>
        <color theme="1"/>
        <rFont val="Calibri"/>
        <family val="2"/>
        <scheme val="minor"/>
      </rPr>
      <t xml:space="preserve"> under Article 4 of the CT law are not treated as </t>
    </r>
    <r>
      <rPr>
        <b/>
        <sz val="12"/>
        <color theme="1"/>
        <rFont val="Calibri"/>
        <family val="2"/>
        <scheme val="minor"/>
      </rPr>
      <t>Resident Persons</t>
    </r>
    <r>
      <rPr>
        <sz val="12"/>
        <color theme="1"/>
        <rFont val="Calibri"/>
        <family val="2"/>
        <scheme val="minor"/>
      </rPr>
      <t xml:space="preserve"> unless they engage in non-exempt business activities.</t>
    </r>
  </si>
  <si>
    <r>
      <t xml:space="preserve">The location where important business decisions are made (setting company policies, strategic direction, appointing executives, determining dividends, etc.) is crucial for determining </t>
    </r>
    <r>
      <rPr>
        <b/>
        <sz val="12"/>
        <color theme="1"/>
        <rFont val="Calibri"/>
        <family val="2"/>
        <scheme val="minor"/>
      </rPr>
      <t>PoEM</t>
    </r>
    <r>
      <rPr>
        <sz val="12"/>
        <color theme="1"/>
        <rFont val="Calibri"/>
        <family val="2"/>
        <scheme val="minor"/>
      </rPr>
      <t>.</t>
    </r>
  </si>
  <si>
    <r>
      <t>Substance over form:</t>
    </r>
    <r>
      <rPr>
        <sz val="12"/>
        <color theme="1"/>
        <rFont val="Calibri"/>
        <family val="2"/>
        <scheme val="minor"/>
      </rPr>
      <t xml:space="preserve"> The </t>
    </r>
    <r>
      <rPr>
        <b/>
        <sz val="12"/>
        <color theme="1"/>
        <rFont val="Calibri"/>
        <family val="2"/>
        <scheme val="minor"/>
      </rPr>
      <t>actual decision-making</t>
    </r>
    <r>
      <rPr>
        <sz val="12"/>
        <color theme="1"/>
        <rFont val="Calibri"/>
        <family val="2"/>
        <scheme val="minor"/>
      </rPr>
      <t xml:space="preserve"> power and involvement of the board is necessary; mere approval (rubber-stamping) does not count.</t>
    </r>
  </si>
  <si>
    <r>
      <t>Person Test:</t>
    </r>
    <r>
      <rPr>
        <sz val="12"/>
        <color theme="1"/>
        <rFont val="Calibri"/>
        <family val="2"/>
        <scheme val="minor"/>
      </rPr>
      <t xml:space="preserve"> Assess the board’s role, authority, and decision-making powers. This also involves whether the board has delegated decision-making authority.</t>
    </r>
  </si>
  <si>
    <r>
      <t>Place Test:</t>
    </r>
    <r>
      <rPr>
        <sz val="12"/>
        <color theme="1"/>
        <rFont val="Calibri"/>
        <family val="2"/>
        <scheme val="minor"/>
      </rPr>
      <t xml:space="preserve"> Identify the location where KMCD are made (e.g., location of Board meetings).</t>
    </r>
  </si>
  <si>
    <r>
      <t>Board Minutes:</t>
    </r>
    <r>
      <rPr>
        <sz val="12"/>
        <color theme="1"/>
        <rFont val="Calibri"/>
        <family val="2"/>
        <scheme val="minor"/>
      </rPr>
      <t xml:space="preserve"> It’s important to maintain detailed minutes showing the decision-making process, including discussions, arguments, and individual director contributions.</t>
    </r>
  </si>
  <si>
    <r>
      <t xml:space="preserve">If </t>
    </r>
    <r>
      <rPr>
        <b/>
        <sz val="12"/>
        <color theme="1"/>
        <rFont val="Calibri"/>
        <family val="2"/>
        <scheme val="minor"/>
      </rPr>
      <t>PoEM</t>
    </r>
    <r>
      <rPr>
        <sz val="12"/>
        <color theme="1"/>
        <rFont val="Calibri"/>
        <family val="2"/>
        <scheme val="minor"/>
      </rPr>
      <t xml:space="preserve"> remains unclear, the place with the strongest economic ties (e.g., employees, assets, revenues) may be considered.</t>
    </r>
  </si>
  <si>
    <r>
      <t xml:space="preserve">Regardless of their domicile or residence, </t>
    </r>
    <r>
      <rPr>
        <b/>
        <sz val="12"/>
        <color theme="1"/>
        <rFont val="Calibri"/>
        <family val="2"/>
        <scheme val="minor"/>
      </rPr>
      <t>natural persons</t>
    </r>
    <r>
      <rPr>
        <sz val="12"/>
        <color theme="1"/>
        <rFont val="Calibri"/>
        <family val="2"/>
        <scheme val="minor"/>
      </rPr>
      <t xml:space="preserve"> are subject to UAE CT on income from business activities in the UAE, provided their total turnover exceeds </t>
    </r>
    <r>
      <rPr>
        <b/>
        <sz val="12"/>
        <color theme="1"/>
        <rFont val="Calibri"/>
        <family val="2"/>
        <scheme val="minor"/>
      </rPr>
      <t>AED 1 million</t>
    </r>
    <r>
      <rPr>
        <sz val="12"/>
        <color theme="1"/>
        <rFont val="Calibri"/>
        <family val="2"/>
        <scheme val="minor"/>
      </rPr>
      <t xml:space="preserve"> in a calendar year.</t>
    </r>
  </si>
  <si>
    <r>
      <t>Resident under UAE CT law:</t>
    </r>
    <r>
      <rPr>
        <sz val="12"/>
        <color theme="1"/>
        <rFont val="Calibri"/>
        <family val="2"/>
        <scheme val="minor"/>
      </rPr>
      <t xml:space="preserve"> A company or entity within the UAE's tax jurisdiction.</t>
    </r>
  </si>
  <si>
    <r>
      <t>Tax Resident under Double Tax Agreements (DTA):</t>
    </r>
    <r>
      <rPr>
        <sz val="12"/>
        <color theme="1"/>
        <rFont val="Calibri"/>
        <family val="2"/>
        <scheme val="minor"/>
      </rPr>
      <t xml:space="preserve"> Recognition depends on the DTA’s rules, not just domestic CT law.</t>
    </r>
  </si>
  <si>
    <r>
      <t xml:space="preserve">A </t>
    </r>
    <r>
      <rPr>
        <b/>
        <sz val="12"/>
        <color theme="1"/>
        <rFont val="Calibri"/>
        <family val="2"/>
        <scheme val="minor"/>
      </rPr>
      <t>free zone branch</t>
    </r>
    <r>
      <rPr>
        <sz val="12"/>
        <color theme="1"/>
        <rFont val="Calibri"/>
        <family val="2"/>
        <scheme val="minor"/>
      </rPr>
      <t xml:space="preserve"> is a </t>
    </r>
    <r>
      <rPr>
        <b/>
        <sz val="12"/>
        <color theme="1"/>
        <rFont val="Calibri"/>
        <family val="2"/>
        <scheme val="minor"/>
      </rPr>
      <t>Resident</t>
    </r>
    <r>
      <rPr>
        <sz val="12"/>
        <color theme="1"/>
        <rFont val="Calibri"/>
        <family val="2"/>
        <scheme val="minor"/>
      </rPr>
      <t xml:space="preserve"> under UAE CT law but not a </t>
    </r>
    <r>
      <rPr>
        <b/>
        <sz val="12"/>
        <color theme="1"/>
        <rFont val="Calibri"/>
        <family val="2"/>
        <scheme val="minor"/>
      </rPr>
      <t>Tax Resident</t>
    </r>
    <r>
      <rPr>
        <sz val="12"/>
        <color theme="1"/>
        <rFont val="Calibri"/>
        <family val="2"/>
        <scheme val="minor"/>
      </rPr>
      <t xml:space="preserve"> for DTA purposes.</t>
    </r>
  </si>
  <si>
    <r>
      <t xml:space="preserve">A company with its </t>
    </r>
    <r>
      <rPr>
        <b/>
        <sz val="12"/>
        <color theme="1"/>
        <rFont val="Calibri"/>
        <family val="2"/>
        <scheme val="minor"/>
      </rPr>
      <t>Place of Effective Management (PoEM)</t>
    </r>
    <r>
      <rPr>
        <sz val="12"/>
        <color theme="1"/>
        <rFont val="Calibri"/>
        <family val="2"/>
        <scheme val="minor"/>
      </rPr>
      <t xml:space="preserve"> in the UAE may qualify as a </t>
    </r>
    <r>
      <rPr>
        <b/>
        <sz val="12"/>
        <color theme="1"/>
        <rFont val="Calibri"/>
        <family val="2"/>
        <scheme val="minor"/>
      </rPr>
      <t>Resident</t>
    </r>
    <r>
      <rPr>
        <sz val="12"/>
        <color theme="1"/>
        <rFont val="Calibri"/>
        <family val="2"/>
        <scheme val="minor"/>
      </rPr>
      <t xml:space="preserve"> under UAE CT law and potentially obtain a </t>
    </r>
    <r>
      <rPr>
        <b/>
        <sz val="12"/>
        <color theme="1"/>
        <rFont val="Calibri"/>
        <family val="2"/>
        <scheme val="minor"/>
      </rPr>
      <t>TRC</t>
    </r>
    <r>
      <rPr>
        <sz val="12"/>
        <color theme="1"/>
        <rFont val="Calibri"/>
        <family val="2"/>
        <scheme val="minor"/>
      </rPr>
      <t xml:space="preserve"> under CT law, but its status for DTA purposes depends on the specific DTA rules.</t>
    </r>
  </si>
  <si>
    <r>
      <t xml:space="preserve">PoEM is determined using a </t>
    </r>
    <r>
      <rPr>
        <b/>
        <sz val="12"/>
        <color theme="1"/>
        <rFont val="Calibri"/>
        <family val="2"/>
        <scheme val="minor"/>
      </rPr>
      <t>substance over form approach</t>
    </r>
    <r>
      <rPr>
        <sz val="12"/>
        <color theme="1"/>
        <rFont val="Calibri"/>
        <family val="2"/>
        <scheme val="minor"/>
      </rPr>
      <t>, considering all relevant factors each year. Proper documentation (like Board meeting minutes) is needed to prove where key decisions are made.</t>
    </r>
  </si>
  <si>
    <r>
      <t xml:space="preserve">Dividends or profit distributions from </t>
    </r>
    <r>
      <rPr>
        <b/>
        <sz val="12"/>
        <color theme="1"/>
        <rFont val="Calibri"/>
        <family val="2"/>
        <scheme val="minor"/>
      </rPr>
      <t>exempt entities</t>
    </r>
    <r>
      <rPr>
        <sz val="12"/>
        <color theme="1"/>
        <rFont val="Calibri"/>
        <family val="2"/>
        <scheme val="minor"/>
      </rPr>
      <t xml:space="preserve"> may </t>
    </r>
    <r>
      <rPr>
        <b/>
        <sz val="12"/>
        <color theme="1"/>
        <rFont val="Calibri"/>
        <family val="2"/>
        <scheme val="minor"/>
      </rPr>
      <t>not</t>
    </r>
    <r>
      <rPr>
        <sz val="12"/>
        <color theme="1"/>
        <rFont val="Calibri"/>
        <family val="2"/>
        <scheme val="minor"/>
      </rPr>
      <t xml:space="preserve"> qualify for exemption under Article 22 of the CT law unless the exempt entity conducts business activities outside its exempt scope.</t>
    </r>
  </si>
  <si>
    <r>
      <rPr>
        <b/>
        <sz val="12"/>
        <color theme="1"/>
        <rFont val="Calibri"/>
        <family val="2"/>
        <scheme val="minor"/>
      </rPr>
      <t xml:space="preserve">Juridical person 
</t>
    </r>
    <r>
      <rPr>
        <sz val="12"/>
        <color theme="1"/>
        <rFont val="Calibri"/>
        <family val="2"/>
        <scheme val="minor"/>
      </rPr>
      <t>• The residency test must be evaluated in accordance with the applicable DTA, which typically 
considers factors such as being liable to tax, legal connections (e.g., incorporation), economic ties 
(e.g., PoEM), or a combination of both within a specific country. 
• Government entities, government-controlled entities, and Exempt Persons are generally classified as 
Tax Residents under the DTA. However, if a DTA offers a different definition for these categories, that 
definition will take precedence. Additionally, it is clarified that if the criteria under the DTA for tax 
residence is ‘to be liable to tax’, the Exempt Persons will be considered to have met the test.</t>
    </r>
  </si>
  <si>
    <r>
      <rPr>
        <b/>
        <sz val="12"/>
        <color theme="1"/>
        <rFont val="Calibri"/>
        <family val="2"/>
        <scheme val="minor"/>
      </rPr>
      <t xml:space="preserve">Natural person 
</t>
    </r>
    <r>
      <rPr>
        <sz val="12"/>
        <color theme="1"/>
        <rFont val="Calibri"/>
        <family val="2"/>
        <scheme val="minor"/>
      </rPr>
      <t xml:space="preserve">• The Guide states that, similar to the provisions for juridical persons, the DTA sets out its own rules 
and criteria where the natural person is considered a Tax Resident. Generally, a natural person is 
considered a tax resident in the country where they are liable to tax, hold relevant citizenship or 
nationality, maintain a physical presence, or are domiciled or resident. 
• Additionally, the Guide clarifies that if the DTA refers to being resident under the laws of the UAE, the 
criteria set forth in Cabinet Decision No. 85 of 2022 should be used to establish tax residency. </t>
    </r>
  </si>
  <si>
    <r>
      <rPr>
        <b/>
        <sz val="11"/>
        <color theme="1"/>
        <rFont val="Calibri"/>
        <family val="2"/>
        <scheme val="minor"/>
      </rPr>
      <t xml:space="preserve">Shared Employee Costs: </t>
    </r>
    <r>
      <rPr>
        <sz val="11"/>
        <color theme="1"/>
        <rFont val="Calibri"/>
        <family val="2"/>
        <scheme val="minor"/>
      </rPr>
      <t xml:space="preserve">Costs related to employee salaries shared between multiple group companies are not deductible if they are not directly related to the business of the entity claiming the expense.
Example: If an employee works for both Company A and Company B within a group, and their salary is split based on time spent, only the portion of the salary directly related to each company's business can be deducted. The share not related to the business of the claiming company would not be deductible.
</t>
    </r>
    <r>
      <rPr>
        <b/>
        <sz val="11"/>
        <color theme="1"/>
        <rFont val="Calibri"/>
        <family val="2"/>
        <scheme val="minor"/>
      </rPr>
      <t xml:space="preserve">
Private Event Expenses: </t>
    </r>
    <r>
      <rPr>
        <sz val="11"/>
        <color theme="1"/>
        <rFont val="Calibri"/>
        <family val="2"/>
        <scheme val="minor"/>
      </rPr>
      <t>Expenses for private events, like a family member’s wedding (even if they are an employee), are not deductible under UAE CT law.
Example: If a company spends money on hosting a wedding for an employee’s family member, this expense cannot be claimed as a business deduction.</t>
    </r>
  </si>
  <si>
    <r>
      <rPr>
        <b/>
        <sz val="11"/>
        <color theme="1"/>
        <rFont val="Calibri"/>
        <family val="2"/>
        <scheme val="minor"/>
      </rPr>
      <t>Reimbursement for Employees Working from Home:</t>
    </r>
    <r>
      <rPr>
        <sz val="11"/>
        <color theme="1"/>
        <rFont val="Calibri"/>
        <family val="2"/>
        <scheme val="minor"/>
      </rPr>
      <t xml:space="preserve">
Under UAE Corporate Tax Law, companies can reimburse employees for increased costs incurred due to working exclusively from home. This includes:
</t>
    </r>
    <r>
      <rPr>
        <b/>
        <sz val="11"/>
        <color theme="1"/>
        <rFont val="Calibri"/>
        <family val="2"/>
        <scheme val="minor"/>
      </rPr>
      <t>Home Office Setup Costs:</t>
    </r>
    <r>
      <rPr>
        <sz val="11"/>
        <color theme="1"/>
        <rFont val="Calibri"/>
        <family val="2"/>
        <scheme val="minor"/>
      </rPr>
      <t xml:space="preserve"> Expenses for setting up a home office, such as purchasing office furniture, computers, or other necessary equipment.
Utility Bills: A portion of the utility bills (e.g., electricity, internet) that are related to the employee working from home.
These reimbursements are generally allowed, provided they are directly related to the employee’s work-from-home arrangement. The company must ensure that the expenses are properly documented and justified for tax purposes.</t>
    </r>
  </si>
  <si>
    <t>Depreciation Expense: If professional fees paid to a connected person are capitalized in accordance with IFRS or IFRS for SMEs, but the fees are not at arm's length, the depreciation expense related to those capitalized fees is not deductible for UAE CT purposes.
Example: If a company pays a connected person for professional services at a price higher than what would be considered reasonable in the market (not at arm's length), and those fees are capitalized, the depreciation related to those fees will not be deductible for tax purposes.</t>
  </si>
  <si>
    <r>
      <rPr>
        <b/>
        <sz val="11"/>
        <color theme="1"/>
        <rFont val="Calibri"/>
        <family val="2"/>
        <scheme val="minor"/>
      </rPr>
      <t>Taxes</t>
    </r>
    <r>
      <rPr>
        <sz val="11"/>
        <color theme="1"/>
        <rFont val="Calibri"/>
        <family val="2"/>
        <scheme val="minor"/>
      </rPr>
      <t xml:space="preserve"> imposed at the Emirate level (i.e., local taxes within individual Emirates) are not deductible under UAE Corporate Tax (CT).
</t>
    </r>
    <r>
      <rPr>
        <b/>
        <sz val="11"/>
        <color theme="1"/>
        <rFont val="Calibri"/>
        <family val="2"/>
        <scheme val="minor"/>
      </rPr>
      <t>Zakat</t>
    </r>
    <r>
      <rPr>
        <sz val="11"/>
        <color theme="1"/>
        <rFont val="Calibri"/>
        <family val="2"/>
        <scheme val="minor"/>
      </rPr>
      <t xml:space="preserve"> paid to an entity that is not a Qualifying Public Benefit Entity is not deductible under UAE CT.</t>
    </r>
  </si>
  <si>
    <t>Sn</t>
  </si>
  <si>
    <t>Remarks</t>
  </si>
  <si>
    <t>How to Apply VAT on Gold and Diamond Jewelry Sales When Charges Are Listed Separately or Combined?</t>
  </si>
  <si>
    <t>As per Cabinet Decision No. 25, tax registrants supplying Gold are not required to impose VAT on the supply of Gold and products primarily made of Gold if certain conditions are met. Instead, VAT on Gold is accounted for under a reverse charge mechanism, where the recipient (not the supplier) is responsible for VAT.</t>
  </si>
  <si>
    <r>
      <t xml:space="preserve">1. </t>
    </r>
    <r>
      <rPr>
        <b/>
        <sz val="11"/>
        <color theme="1"/>
        <rFont val="Calibri"/>
        <family val="2"/>
        <scheme val="minor"/>
      </rPr>
      <t>When is VAT not imposed on the supply of Gold Items?</t>
    </r>
  </si>
  <si>
    <t>VAT is not imposed on the supply of Gold Items if the recipient is registered for VAT and provides a written declaration confirming the Gold Item will be used for resale or manufacturing other Gold Items. The recipient must also be responsible for accounting for the VAT on the Gold Items.</t>
  </si>
  <si>
    <r>
      <t xml:space="preserve">2. </t>
    </r>
    <r>
      <rPr>
        <b/>
        <sz val="11"/>
        <color theme="1"/>
        <rFont val="Calibri"/>
        <family val="2"/>
        <scheme val="minor"/>
      </rPr>
      <t>What happens if the supplier charges a single price for both the Gold Item and Making Services?</t>
    </r>
  </si>
  <si>
    <t>If the supplier charges a single price that includes both the Gold Item and Making Services, the supply will be regarded as a single composite supply. The reverse charge mechanism may apply if the conditions of Cabinet Decision No. 25 are met, and the supplier and recipient must retain supporting evidence such as a tax invoice.</t>
  </si>
  <si>
    <r>
      <t xml:space="preserve">3. </t>
    </r>
    <r>
      <rPr>
        <b/>
        <sz val="11"/>
        <color theme="1"/>
        <rFont val="Calibri"/>
        <family val="2"/>
        <scheme val="minor"/>
      </rPr>
      <t>How should VAT be applied if the supplier charges separately for Gold Items and Making Services?</t>
    </r>
  </si>
  <si>
    <r>
      <t xml:space="preserve">If the supplier charges separately for the Gold Item and Making Services, the supply is treated as </t>
    </r>
    <r>
      <rPr>
        <b/>
        <sz val="11"/>
        <color theme="1"/>
        <rFont val="Calibri"/>
        <family val="2"/>
        <scheme val="minor"/>
      </rPr>
      <t>multiple supplies</t>
    </r>
    <r>
      <rPr>
        <sz val="11"/>
        <color theme="1"/>
        <rFont val="Calibri"/>
        <family val="2"/>
        <scheme val="minor"/>
      </rPr>
      <t>. In this case, VAT on the Gold Item may still be subject to the reverse charge mechanism, but VAT on the Making Services must be accounted for by the supplier.</t>
    </r>
  </si>
  <si>
    <r>
      <t xml:space="preserve">4. </t>
    </r>
    <r>
      <rPr>
        <b/>
        <sz val="11"/>
        <color theme="1"/>
        <rFont val="Calibri"/>
        <family val="2"/>
        <scheme val="minor"/>
      </rPr>
      <t>What is a single composite supply and how does it affect VAT treatment?</t>
    </r>
  </si>
  <si>
    <t>A single composite supply consists of a principal component (the Gold Item) and ancillary services (such as Making Services) that are so closely linked that they cannot be separated. If this condition is met, the supply is treated as a single supply, and VAT may be accounted for under the reverse charge mechanism, if the requirements of Cabinet Decision No. 25 are met.</t>
  </si>
  <si>
    <r>
      <t xml:space="preserve">5. </t>
    </r>
    <r>
      <rPr>
        <b/>
        <sz val="11"/>
        <color theme="1"/>
        <rFont val="Calibri"/>
        <family val="2"/>
        <scheme val="minor"/>
      </rPr>
      <t>What qualifies as an investment precious metal under VAT rules?</t>
    </r>
  </si>
  <si>
    <t>Investment precious metals, such as gold, silver, and platinum, must have a purity of 99% or more and be in a form that is tradable in global bullion markets to qualify for VAT zero-rating under the VAT legislation.</t>
  </si>
  <si>
    <r>
      <t>VAT Exemption on Gold Items</t>
    </r>
    <r>
      <rPr>
        <sz val="11"/>
        <color theme="1"/>
        <rFont val="Calibri"/>
        <family val="2"/>
        <scheme val="minor"/>
      </rPr>
      <t>:</t>
    </r>
  </si>
  <si>
    <r>
      <t xml:space="preserve">The recipient is </t>
    </r>
    <r>
      <rPr>
        <b/>
        <sz val="11"/>
        <color theme="1"/>
        <rFont val="Calibri"/>
        <family val="2"/>
        <scheme val="minor"/>
      </rPr>
      <t>registered for VAT</t>
    </r>
    <r>
      <rPr>
        <sz val="11"/>
        <color theme="1"/>
        <rFont val="Calibri"/>
        <family val="2"/>
        <scheme val="minor"/>
      </rPr>
      <t>.</t>
    </r>
  </si>
  <si>
    <r>
      <t xml:space="preserve">The recipient provides a </t>
    </r>
    <r>
      <rPr>
        <b/>
        <sz val="11"/>
        <color theme="1"/>
        <rFont val="Calibri"/>
        <family val="2"/>
        <scheme val="minor"/>
      </rPr>
      <t>written declaration</t>
    </r>
    <r>
      <rPr>
        <sz val="11"/>
        <color theme="1"/>
        <rFont val="Calibri"/>
        <family val="2"/>
        <scheme val="minor"/>
      </rPr>
      <t xml:space="preserve"> confirming:</t>
    </r>
  </si>
  <si>
    <t>The Gold Item will be used to produce/manufacture other Gold Items or to be resold.</t>
  </si>
  <si>
    <t>The recipient is registered for VAT at the time of supply.</t>
  </si>
  <si>
    <t>The recipient will account for VAT on the Gold Item.</t>
  </si>
  <si>
    <r>
      <t>Reverse Charge Mechanism on Gold</t>
    </r>
    <r>
      <rPr>
        <sz val="11"/>
        <color theme="1"/>
        <rFont val="Calibri"/>
        <family val="2"/>
        <scheme val="minor"/>
      </rPr>
      <t>:</t>
    </r>
  </si>
  <si>
    <t>Applies when the above conditions are met.</t>
  </si>
  <si>
    <r>
      <t xml:space="preserve">The recipient is responsible for </t>
    </r>
    <r>
      <rPr>
        <b/>
        <sz val="11"/>
        <color theme="1"/>
        <rFont val="Calibri"/>
        <family val="2"/>
        <scheme val="minor"/>
      </rPr>
      <t>accounting for VAT</t>
    </r>
    <r>
      <rPr>
        <sz val="11"/>
        <color theme="1"/>
        <rFont val="Calibri"/>
        <family val="2"/>
        <scheme val="minor"/>
      </rPr>
      <t xml:space="preserve"> on the Gold Item.</t>
    </r>
  </si>
  <si>
    <r>
      <t>Single Composite Supply</t>
    </r>
    <r>
      <rPr>
        <sz val="11"/>
        <color theme="1"/>
        <rFont val="Calibri"/>
        <family val="2"/>
        <scheme val="minor"/>
      </rPr>
      <t>:</t>
    </r>
  </si>
  <si>
    <r>
      <t xml:space="preserve">Applies when </t>
    </r>
    <r>
      <rPr>
        <b/>
        <sz val="11"/>
        <color theme="1"/>
        <rFont val="Calibri"/>
        <family val="2"/>
        <scheme val="minor"/>
      </rPr>
      <t>Gold Item</t>
    </r>
    <r>
      <rPr>
        <sz val="11"/>
        <color theme="1"/>
        <rFont val="Calibri"/>
        <family val="2"/>
        <scheme val="minor"/>
      </rPr>
      <t xml:space="preserve"> and </t>
    </r>
    <r>
      <rPr>
        <b/>
        <sz val="11"/>
        <color theme="1"/>
        <rFont val="Calibri"/>
        <family val="2"/>
        <scheme val="minor"/>
      </rPr>
      <t>Making Services</t>
    </r>
    <r>
      <rPr>
        <sz val="11"/>
        <color theme="1"/>
        <rFont val="Calibri"/>
        <family val="2"/>
        <scheme val="minor"/>
      </rPr>
      <t xml:space="preserve"> are supplied for </t>
    </r>
    <r>
      <rPr>
        <b/>
        <sz val="11"/>
        <color theme="1"/>
        <rFont val="Calibri"/>
        <family val="2"/>
        <scheme val="minor"/>
      </rPr>
      <t>one price</t>
    </r>
    <r>
      <rPr>
        <sz val="11"/>
        <color theme="1"/>
        <rFont val="Calibri"/>
        <family val="2"/>
        <scheme val="minor"/>
      </rPr>
      <t>.</t>
    </r>
  </si>
  <si>
    <t>Conditions for a single composite supply:</t>
  </si>
  <si>
    <r>
      <t xml:space="preserve">The Gold Item is the </t>
    </r>
    <r>
      <rPr>
        <b/>
        <sz val="11"/>
        <color theme="1"/>
        <rFont val="Calibri"/>
        <family val="2"/>
        <scheme val="minor"/>
      </rPr>
      <t>principal component</t>
    </r>
    <r>
      <rPr>
        <sz val="11"/>
        <color theme="1"/>
        <rFont val="Calibri"/>
        <family val="2"/>
        <scheme val="minor"/>
      </rPr>
      <t>.</t>
    </r>
  </si>
  <si>
    <r>
      <t xml:space="preserve">Making Services are </t>
    </r>
    <r>
      <rPr>
        <b/>
        <sz val="11"/>
        <color theme="1"/>
        <rFont val="Calibri"/>
        <family val="2"/>
        <scheme val="minor"/>
      </rPr>
      <t>ancillary/related</t>
    </r>
    <r>
      <rPr>
        <sz val="11"/>
        <color theme="1"/>
        <rFont val="Calibri"/>
        <family val="2"/>
        <scheme val="minor"/>
      </rPr>
      <t xml:space="preserve"> and closely linked to the Gold Item.</t>
    </r>
  </si>
  <si>
    <r>
      <t xml:space="preserve">The price for both the Gold Item and Making Services is </t>
    </r>
    <r>
      <rPr>
        <b/>
        <sz val="11"/>
        <color theme="1"/>
        <rFont val="Calibri"/>
        <family val="2"/>
        <scheme val="minor"/>
      </rPr>
      <t>not separated</t>
    </r>
    <r>
      <rPr>
        <sz val="11"/>
        <color theme="1"/>
        <rFont val="Calibri"/>
        <family val="2"/>
        <scheme val="minor"/>
      </rPr>
      <t>.</t>
    </r>
  </si>
  <si>
    <r>
      <t xml:space="preserve">The Gold Item and Making Services are supplied by the </t>
    </r>
    <r>
      <rPr>
        <b/>
        <sz val="11"/>
        <color theme="1"/>
        <rFont val="Calibri"/>
        <family val="2"/>
        <scheme val="minor"/>
      </rPr>
      <t>same supplier</t>
    </r>
    <r>
      <rPr>
        <sz val="11"/>
        <color theme="1"/>
        <rFont val="Calibri"/>
        <family val="2"/>
        <scheme val="minor"/>
      </rPr>
      <t>.</t>
    </r>
  </si>
  <si>
    <t>In this case, the reverse charge mechanism may apply, if all other conditions are met.</t>
  </si>
  <si>
    <r>
      <t>Multiple Supplies</t>
    </r>
    <r>
      <rPr>
        <sz val="11"/>
        <color theme="1"/>
        <rFont val="Calibri"/>
        <family val="2"/>
        <scheme val="minor"/>
      </rPr>
      <t>:</t>
    </r>
  </si>
  <si>
    <r>
      <t xml:space="preserve">If the supplier charges separately for </t>
    </r>
    <r>
      <rPr>
        <b/>
        <sz val="11"/>
        <color theme="1"/>
        <rFont val="Calibri"/>
        <family val="2"/>
        <scheme val="minor"/>
      </rPr>
      <t>Gold Items</t>
    </r>
    <r>
      <rPr>
        <sz val="11"/>
        <color theme="1"/>
        <rFont val="Calibri"/>
        <family val="2"/>
        <scheme val="minor"/>
      </rPr>
      <t xml:space="preserve"> and </t>
    </r>
    <r>
      <rPr>
        <b/>
        <sz val="11"/>
        <color theme="1"/>
        <rFont val="Calibri"/>
        <family val="2"/>
        <scheme val="minor"/>
      </rPr>
      <t>Making Services</t>
    </r>
    <r>
      <rPr>
        <sz val="11"/>
        <color theme="1"/>
        <rFont val="Calibri"/>
        <family val="2"/>
        <scheme val="minor"/>
      </rPr>
      <t>:</t>
    </r>
  </si>
  <si>
    <r>
      <t xml:space="preserve">Each component is treated as a </t>
    </r>
    <r>
      <rPr>
        <b/>
        <sz val="11"/>
        <color theme="1"/>
        <rFont val="Calibri"/>
        <family val="2"/>
        <scheme val="minor"/>
      </rPr>
      <t>separate supply</t>
    </r>
    <r>
      <rPr>
        <sz val="11"/>
        <color theme="1"/>
        <rFont val="Calibri"/>
        <family val="2"/>
        <scheme val="minor"/>
      </rPr>
      <t>.</t>
    </r>
  </si>
  <si>
    <t>VAT is accounted for separately on the Gold Item (reverse charge may apply).</t>
  </si>
  <si>
    <r>
      <t xml:space="preserve">VAT must be accounted for on the </t>
    </r>
    <r>
      <rPr>
        <b/>
        <sz val="11"/>
        <color theme="1"/>
        <rFont val="Calibri"/>
        <family val="2"/>
        <scheme val="minor"/>
      </rPr>
      <t>Making Services</t>
    </r>
    <r>
      <rPr>
        <sz val="11"/>
        <color theme="1"/>
        <rFont val="Calibri"/>
        <family val="2"/>
        <scheme val="minor"/>
      </rPr>
      <t xml:space="preserve"> by the supplier, if they are a taxable person.</t>
    </r>
  </si>
  <si>
    <r>
      <t xml:space="preserve">Separate </t>
    </r>
    <r>
      <rPr>
        <b/>
        <sz val="11"/>
        <color theme="1"/>
        <rFont val="Calibri"/>
        <family val="2"/>
        <scheme val="minor"/>
      </rPr>
      <t>tax invoices</t>
    </r>
    <r>
      <rPr>
        <sz val="11"/>
        <color theme="1"/>
        <rFont val="Calibri"/>
        <family val="2"/>
        <scheme val="minor"/>
      </rPr>
      <t xml:space="preserve"> must be issued for each supply.</t>
    </r>
  </si>
  <si>
    <r>
      <t>Investment Precious Metals (Zero-rating)</t>
    </r>
    <r>
      <rPr>
        <sz val="11"/>
        <color theme="1"/>
        <rFont val="Calibri"/>
        <family val="2"/>
        <scheme val="minor"/>
      </rPr>
      <t>:</t>
    </r>
  </si>
  <si>
    <r>
      <t>Gold, silver, and platinum</t>
    </r>
    <r>
      <rPr>
        <sz val="11"/>
        <color theme="1"/>
        <rFont val="Calibri"/>
        <family val="2"/>
        <scheme val="minor"/>
      </rPr>
      <t xml:space="preserve"> are considered investment precious metals if:</t>
    </r>
  </si>
  <si>
    <r>
      <t xml:space="preserve">They have a </t>
    </r>
    <r>
      <rPr>
        <b/>
        <sz val="11"/>
        <color theme="1"/>
        <rFont val="Calibri"/>
        <family val="2"/>
        <scheme val="minor"/>
      </rPr>
      <t>purity of 99% or more</t>
    </r>
    <r>
      <rPr>
        <sz val="11"/>
        <color theme="1"/>
        <rFont val="Calibri"/>
        <family val="2"/>
        <scheme val="minor"/>
      </rPr>
      <t>.</t>
    </r>
  </si>
  <si>
    <r>
      <t xml:space="preserve">They are in a </t>
    </r>
    <r>
      <rPr>
        <b/>
        <sz val="11"/>
        <color theme="1"/>
        <rFont val="Calibri"/>
        <family val="2"/>
        <scheme val="minor"/>
      </rPr>
      <t>form tradable in global bullion markets</t>
    </r>
    <r>
      <rPr>
        <sz val="11"/>
        <color theme="1"/>
        <rFont val="Calibri"/>
        <family val="2"/>
        <scheme val="minor"/>
      </rPr>
      <t>.</t>
    </r>
  </si>
  <si>
    <r>
      <t>Conditions Under Cabinet Decision No. 25 (2018)</t>
    </r>
    <r>
      <rPr>
        <sz val="11"/>
        <color theme="1"/>
        <rFont val="Calibri"/>
        <family val="2"/>
        <scheme val="minor"/>
      </rPr>
      <t>:</t>
    </r>
  </si>
  <si>
    <r>
      <t xml:space="preserve">Applies when the supplier makes a </t>
    </r>
    <r>
      <rPr>
        <b/>
        <sz val="11"/>
        <color theme="1"/>
        <rFont val="Calibri"/>
        <family val="2"/>
        <scheme val="minor"/>
      </rPr>
      <t>supply of goods</t>
    </r>
    <r>
      <rPr>
        <sz val="11"/>
        <color theme="1"/>
        <rFont val="Calibri"/>
        <family val="2"/>
        <scheme val="minor"/>
      </rPr>
      <t xml:space="preserve"> to a registrant recipient in the state.</t>
    </r>
  </si>
  <si>
    <t>The recipient must either:</t>
  </si>
  <si>
    <r>
      <t>Resell</t>
    </r>
    <r>
      <rPr>
        <sz val="11"/>
        <color theme="1"/>
        <rFont val="Calibri"/>
        <family val="2"/>
        <scheme val="minor"/>
      </rPr>
      <t xml:space="preserve"> the goods.</t>
    </r>
  </si>
  <si>
    <r>
      <t>Use the goods</t>
    </r>
    <r>
      <rPr>
        <sz val="11"/>
        <color theme="1"/>
        <rFont val="Calibri"/>
        <family val="2"/>
        <scheme val="minor"/>
      </rPr>
      <t xml:space="preserve"> to produce or manufacture other goods.</t>
    </r>
  </si>
  <si>
    <t>The recipient must declare in writing:</t>
  </si>
  <si>
    <t>The purpose of the goods is resale or production/manufacturing.</t>
  </si>
  <si>
    <t>The recipient will calculate VAT on the value of the goods supplied.</t>
  </si>
  <si>
    <t>From 1 January 2023, suppliers need to assess whether the supply of Gold Items and Making Services constitutes a single composite supply or multiple supplies:
Single Composite Supply: If the supplier charges a single price for both the Gold Item and the Making Service, and if the supply involves a principal component (Gold Item) and ancillary components (Making Services), then the supply is considered a single composite supply. The reverse charge mechanism may apply if all the requirements of Cabinet Decision No. 25 are met. In this case, both the supplier and recipient must retain supporting evidence, including a tax invoice reflecting a single price.
Multiple Supplies: If the supplier charges separately for the Gold Item and Making Services, each component is treated as a separate supply. The VAT treatment for Gold Items may still fall under the reverse charge mechanism if the requirements of Cabinet Decision No. 25 are met, but the Making Services will be subject to VAT by the supplier. The supplier must issue separate tax invoices for these services.
Furthermore, specific rules apply to investment precious metals like gold, silver, and platinum, which must meet certain purity and tradeability standards to qualify for zero-rating under the VAT legislation.</t>
  </si>
  <si>
    <r>
      <t xml:space="preserve">These metals may qualify for </t>
    </r>
    <r>
      <rPr>
        <b/>
        <i/>
        <sz val="11"/>
        <color rgb="FF0070C0"/>
        <rFont val="Calibri"/>
        <family val="2"/>
        <scheme val="minor"/>
      </rPr>
      <t>zero-rate VAT</t>
    </r>
    <r>
      <rPr>
        <i/>
        <sz val="11"/>
        <color rgb="FF0070C0"/>
        <rFont val="Calibri"/>
        <family val="2"/>
        <scheme val="minor"/>
      </rPr>
      <t>.This includes gold bars, coins, and bullions.The exemption aims to maintain Dubai’s status as a global gold trading hub.</t>
    </r>
  </si>
  <si>
    <t>For B2B transactions involving 99%+ purity gold:</t>
  </si>
  <si>
    <t>1. The seller does not charge VAT</t>
  </si>
  <si>
    <t>2. The buyer accounts for VAT in their tax return</t>
  </si>
  <si>
    <t>3. The buyer immediately reclaims the same amount as input tax</t>
  </si>
  <si>
    <t>This process ensures no actual VAT payment occurs, maintaining cash flow for businesses.</t>
  </si>
  <si>
    <t>Understand the reverse charge mechanism</t>
  </si>
  <si>
    <t>UAE's New Regulations for Responsible Gold Sourcing and Refining</t>
  </si>
  <si>
    <t>What are the new regulations regarding gold refining in the UAE?</t>
  </si>
  <si>
    <t>The new regulations require gold refiners to comply with OECD standards for responsible sourcing, ensuring that gold is not sourced from conflict zones or high-risk countries. Refiners must implement a governance system, perform risk assessments, and mitigate risks in their supply chain. Compliance officers and auditors are required to ensure due diligence.</t>
  </si>
  <si>
    <r>
      <t>What penalties can companies face if they violate the new regulations?</t>
    </r>
    <r>
      <rPr>
        <sz val="11"/>
        <color theme="1"/>
        <rFont val="Calibri"/>
        <family val="2"/>
        <scheme val="minor"/>
      </rPr>
      <t xml:space="preserve"> Companies can face penalties ranging from Dh50,000 to Dh5 million for non-compliance. In addition, violators may face jail terms.</t>
    </r>
  </si>
  <si>
    <r>
      <t>What is the main objective of these regulations?</t>
    </r>
    <r>
      <rPr>
        <sz val="11"/>
        <color theme="1"/>
        <rFont val="Calibri"/>
        <family val="2"/>
        <scheme val="minor"/>
      </rPr>
      <t xml:space="preserve"> The primary goal is to ensure transparency in gold sourcing, preventing gold from entering the market from conflict zones or regions with high-risk conditions. The regulations are designed to strengthen the integrity of the gold supply chain.</t>
    </r>
  </si>
  <si>
    <r>
      <t>What steps are required for compliance under the new regulations?</t>
    </r>
    <r>
      <rPr>
        <sz val="11"/>
        <color theme="1"/>
        <rFont val="Calibri"/>
        <family val="2"/>
        <scheme val="minor"/>
      </rPr>
      <t xml:space="preserve"> Companies must follow a five-step framework for responsible sourcing, which includes creating an effective governance system, conducting risk assessments, mitigating risks, having third-party reviews, and submitting periodic reports. Additional steps involve training staff, submitting audited reports annually, and appointing compliance officers and auditors.</t>
    </r>
  </si>
  <si>
    <r>
      <t>Who is responsible for ensuring compliance with these regulations?</t>
    </r>
    <r>
      <rPr>
        <sz val="11"/>
        <color theme="1"/>
        <rFont val="Calibri"/>
        <family val="2"/>
        <scheme val="minor"/>
      </rPr>
      <t xml:space="preserve"> Gold refiners must appoint compliance officers to oversee adherence to the regulations. These officers are responsible for conducting Know Your Customer (KYC) procedures, ensuring that suppliers are legitimate, and maintaining accurate documentation.</t>
    </r>
  </si>
  <si>
    <r>
      <t>How will these regulations benefit the UAE’s gold trading sector?</t>
    </r>
    <r>
      <rPr>
        <sz val="11"/>
        <color theme="1"/>
        <rFont val="Calibri"/>
        <family val="2"/>
        <scheme val="minor"/>
      </rPr>
      <t xml:space="preserve"> The new regulations will enhance the UAE’s reputation as a global trading hub for gold. By aligning with international best practices and Financial Action Task Force (FATF) recommendations, the UAE will bolster trust in its gold supply chain and attract more international trade partners.</t>
    </r>
  </si>
  <si>
    <r>
      <t>What role do third-party reviews play in the new regulations?</t>
    </r>
    <r>
      <rPr>
        <sz val="11"/>
        <color theme="1"/>
        <rFont val="Calibri"/>
        <family val="2"/>
        <scheme val="minor"/>
      </rPr>
      <t xml:space="preserve"> Third-party reviews are crucial in ensuring that gold refiners are adhering to responsible sourcing practices. These reviews will increase transparency, reduce risks, and enhance confidence in the UAE's gold industry on a global scale.</t>
    </r>
  </si>
  <si>
    <r>
      <t>What is the role of auditors under these regulations?</t>
    </r>
    <r>
      <rPr>
        <sz val="11"/>
        <color theme="1"/>
        <rFont val="Calibri"/>
        <family val="2"/>
        <scheme val="minor"/>
      </rPr>
      <t xml:space="preserve"> Auditors must be well-versed in international due diligence regulations and conduct annual audits to ensure that refiners comply with the set standards. They will help identify risks in the supply chain and verify that the appropriate mitigation strategies are in place.</t>
    </r>
  </si>
  <si>
    <t>Dubai’s gold industry is supported by robust quality control and certification measures:</t>
  </si>
  <si>
    <r>
      <t>Dubai Good Delivery (DGD) Standard</t>
    </r>
    <r>
      <rPr>
        <sz val="11"/>
        <color theme="1"/>
        <rFont val="Calibri"/>
        <family val="2"/>
        <scheme val="minor"/>
      </rPr>
      <t>: An international benchmark for 1 kg gold bars with .995 purity, ensuring high quality.</t>
    </r>
  </si>
  <si>
    <r>
      <t>Kimberley Process Certification Scheme</t>
    </r>
    <r>
      <rPr>
        <sz val="11"/>
        <color theme="1"/>
        <rFont val="Calibri"/>
        <family val="2"/>
        <scheme val="minor"/>
      </rPr>
      <t>: Ensures ethical sourcing of gemstones used in gold jewelry.</t>
    </r>
  </si>
  <si>
    <r>
      <t>UAE Gold Bullion Coins</t>
    </r>
    <r>
      <rPr>
        <sz val="11"/>
        <color theme="1"/>
        <rFont val="Calibri"/>
        <family val="2"/>
        <scheme val="minor"/>
      </rPr>
      <t>: Issued by the UAE Central Bank, adhering to strict quality standards.</t>
    </r>
  </si>
  <si>
    <r>
      <t>Hallmarking</t>
    </r>
    <r>
      <rPr>
        <sz val="11"/>
        <color theme="1"/>
        <rFont val="Calibri"/>
        <family val="2"/>
        <scheme val="minor"/>
      </rPr>
      <t>: The Dubai Central Laboratory Department certifies gold products meet purity standards.</t>
    </r>
  </si>
  <si>
    <r>
      <t>Anti-money Laundering (AML) Regulations</t>
    </r>
    <r>
      <rPr>
        <sz val="11"/>
        <color theme="1"/>
        <rFont val="Calibri"/>
        <family val="2"/>
        <scheme val="minor"/>
      </rPr>
      <t>: Strict regulations to prevent illicit activities and maintain trade integrity.</t>
    </r>
  </si>
  <si>
    <t>Quality control and certification processes</t>
  </si>
  <si>
    <r>
      <t>Trade Volume</t>
    </r>
    <r>
      <rPr>
        <sz val="11"/>
        <color theme="1"/>
        <rFont val="Calibri"/>
        <family val="2"/>
        <scheme val="minor"/>
      </rPr>
      <t>: In 2020, Dubai’s gold trade was valued at 41 billion euros, reflecting its resilience despite global challenges.</t>
    </r>
  </si>
  <si>
    <r>
      <t>Global Share</t>
    </r>
    <r>
      <rPr>
        <sz val="11"/>
        <color theme="1"/>
        <rFont val="Calibri"/>
        <family val="2"/>
        <scheme val="minor"/>
      </rPr>
      <t>: Dubai trades around 1,200 tonnes of gold annually, making up about 25% of global gold demand.</t>
    </r>
  </si>
  <si>
    <r>
      <t>Export Value</t>
    </r>
    <r>
      <rPr>
        <sz val="11"/>
        <color theme="1"/>
        <rFont val="Calibri"/>
        <family val="2"/>
        <scheme val="minor"/>
      </rPr>
      <t>: Gold is Dubai’s second-most valuable export after oil, playing a key role in the emirate’s trade balance.</t>
    </r>
  </si>
  <si>
    <r>
      <t>Tourism Impact</t>
    </r>
    <r>
      <rPr>
        <sz val="11"/>
        <color theme="1"/>
        <rFont val="Calibri"/>
        <family val="2"/>
        <scheme val="minor"/>
      </rPr>
      <t>: The gold sector, including the Dubai Gold Souk, is a major tourist attraction, contributing significantly to Dubai’s tourism industry.</t>
    </r>
  </si>
  <si>
    <r>
      <t>Investment Attraction</t>
    </r>
    <r>
      <rPr>
        <sz val="11"/>
        <color theme="1"/>
        <rFont val="Calibri"/>
        <family val="2"/>
        <scheme val="minor"/>
      </rPr>
      <t>: Dubai’s gold industry draws foreign direct investment, boosting its economy and global standing.</t>
    </r>
  </si>
  <si>
    <t>Gold’s Contribution to Dubai’s Economy</t>
  </si>
  <si>
    <t>Import Duty</t>
  </si>
  <si>
    <t>Item</t>
  </si>
  <si>
    <t>Rate</t>
  </si>
  <si>
    <t>Gold compounds</t>
  </si>
  <si>
    <t>Silver compounds</t>
  </si>
  <si>
    <t>4.- (a) The expression " precious metal " means silver, gold and platinum.</t>
  </si>
  <si>
    <t>(b) The expression " platinum " means platinum, iridium, osmium, palladium` rhodium and ruthenium.</t>
  </si>
  <si>
    <t>Gold/Silver Jewellery or Utensils</t>
  </si>
  <si>
    <t>Natual Diamond</t>
  </si>
  <si>
    <t>Diamonds, whether or not worked, but not mounted or set.</t>
  </si>
  <si>
    <t>Unsorted</t>
  </si>
  <si>
    <t>- Unworked or simply sawn, cleaved or bruted</t>
  </si>
  <si>
    <t>Precious stones (other than diamonds)</t>
  </si>
  <si>
    <t>For Eg. : Rubies, sapphires and emeralds</t>
  </si>
  <si>
    <t>Synthetic Diamonds</t>
  </si>
  <si>
    <t>Millstones and grindstones for milling, grinding or pulping (Mde up of natural or synthetic diamond)</t>
  </si>
  <si>
    <t>Dust and powder of natural or synthetic precious or semi-precious stones. (diamond or others)</t>
  </si>
  <si>
    <t>Gold/Silver (including silver plated with gold or platinum), unwrought or in semi-manufactured forms, or in powder form.</t>
  </si>
  <si>
    <t>5% of the value CIF (Cost Freight Insurance) value except for alcohol and cigarettes. 50% Duty payable for alcohol while 100% for cigarettes.</t>
  </si>
  <si>
    <t>Dubai Custom Duty</t>
  </si>
  <si>
    <t>What is the procedure for bringing in Uncut Diamonds for sale, Also what documentation needed at the airport by the seller on Arrival?</t>
  </si>
  <si>
    <t>Rough diamond industrial or non-industrial are duty exempted but the company is required to provide the K.P Certificate (Kimberly Process). Note that the shipment should have the K.P Certificate if not then the shipment will be impounded. Loose diamond is duty free Loose color gems stones diamond is dutiable 5% on the CIF value.</t>
  </si>
  <si>
    <t>Documents required importing shipments: Export Company's origin Invoices with their stamp and signature.Packing list (quantity &amp; packing).A list of studding details of jewelry.</t>
  </si>
  <si>
    <t>Documents for Importation</t>
  </si>
  <si>
    <t>How are royalties and license fees to be treated for valuation purposes?</t>
  </si>
  <si>
    <t>When the buyer pays a royalty or license fees related to the imported goods as a condition of sale, the amount has to be added to the price actually paid or to be paid, which may be paid either directly or indirectly.</t>
  </si>
  <si>
    <t>What is the required evidence to verify price?</t>
  </si>
  <si>
    <t>The evidence required bank transfer and remittances and exchange of correspondence between the seller and buyer sheets if necessary.</t>
  </si>
  <si>
    <t>If the shipment was from the mother company (Exporter) and delivered directly to our customer, however the invoice is issued by the local company in the free zone, Do we need an authorization letter?</t>
  </si>
  <si>
    <t>The local company doesn’t need an authorization letter as the company is issuing their own Dubai invoice while the authorization letter is for authorizing free zone companies to issue invoices on behalf of the exporter.</t>
  </si>
  <si>
    <t>How are jewelry evaluated ?</t>
  </si>
  <si>
    <t>The value of jewelry is based on the carat type and weight, while the price of each gram is as per the international gold burse prices at the time of declaration clearance.</t>
  </si>
  <si>
    <t>&gt; It can be done without presenting cash or bank guarntee equivalent to payable custom duties</t>
  </si>
  <si>
    <t>Exportation of Goods Warehoused in FZ to Rest of the world (ROW) through same custom Office (import and export)</t>
  </si>
  <si>
    <t>&gt; Free Zones should be --&gt; Jabel Ali Free Zone (for Jabel ali port or al moktoum airport), Dubai Logistic City Free Zone ((for Jabel ali port or al moktoum airport)),  Dubai International  Airport Free Zone (For air cargo)</t>
  </si>
  <si>
    <t>&gt; Goods should be exported within 30 days from date of processing their custom declarationa.</t>
  </si>
  <si>
    <t>&gt; Prooving the exportation --&gt;a request of settlement of declarations must be registered electronically with supporting documents in 60 days to Customs Refund and Maqasa Department</t>
  </si>
  <si>
    <t>Salary Cap</t>
  </si>
  <si>
    <t>To be paid by</t>
  </si>
  <si>
    <t>10th of Next Month</t>
  </si>
  <si>
    <t>WPS</t>
  </si>
  <si>
    <t>Wired through (from Bank or any exchange) -  it is some sort of charges for transfer fo salary</t>
  </si>
  <si>
    <t>Wage Protection System</t>
  </si>
  <si>
    <t>How WPS Works:</t>
  </si>
  <si>
    <r>
      <t>1. Employer Registration:</t>
    </r>
    <r>
      <rPr>
        <sz val="11"/>
        <color theme="1"/>
        <rFont val="Calibri"/>
        <family val="2"/>
        <scheme val="minor"/>
      </rPr>
      <t xml:space="preserve"> Employers must register with WPS and open a corporate bank account with an approved financial institution.</t>
    </r>
  </si>
  <si>
    <r>
      <t>2. Salary Payment:</t>
    </r>
    <r>
      <rPr>
        <sz val="11"/>
        <color theme="1"/>
        <rFont val="Calibri"/>
        <family val="2"/>
        <scheme val="minor"/>
      </rPr>
      <t xml:space="preserve"> Employers upload salary details to the WPS portal, specifying the amount and payment date for each employee.</t>
    </r>
  </si>
  <si>
    <r>
      <t>3. Employee Notification:</t>
    </r>
    <r>
      <rPr>
        <sz val="11"/>
        <color theme="1"/>
        <rFont val="Calibri"/>
        <family val="2"/>
        <scheme val="minor"/>
      </rPr>
      <t xml:space="preserve"> Employees receive notifications confirming the receipt of their wages.</t>
    </r>
  </si>
  <si>
    <r>
      <t>4. Compliance Monitoring:</t>
    </r>
    <r>
      <rPr>
        <sz val="11"/>
        <color theme="1"/>
        <rFont val="Calibri"/>
        <family val="2"/>
        <scheme val="minor"/>
      </rPr>
      <t xml:space="preserve"> MoHRE monitors compliance with WPS regulations, ensuring timely and accurate wage payments.</t>
    </r>
  </si>
  <si>
    <t>Mandatory Implementation:</t>
  </si>
  <si>
    <t>WPS is mandatory for all private sector employers in the UAE. Employers are required to pay at least 70% of employees' wages through WPS.</t>
  </si>
  <si>
    <t>Salary Payment Due Date:</t>
  </si>
  <si>
    <t>Salaries must be paid on the agreed-upon date specified in the employment contract. If the contract does not specify a date, salaries should be paid at least once a month. Employers are considered in default if they do not pay wages within 15 days after the due date.</t>
  </si>
  <si>
    <t>Minimum wages</t>
  </si>
  <si>
    <t>There is no minimum salary stipulated in the UAE Labour Law, however it broadly mentions that salaries must cover basic needs of the employees.</t>
  </si>
  <si>
    <t>How salaries should be paid?</t>
  </si>
  <si>
    <t>All employers registered with Ministry of Human Resources and Emiratisation (MoHRE) must subscribe to the ‘Wages Protection System (WPS)’ and pay the wages to their employees through it, as per the due dates.
Under this system, salaries of employees will be transferred to their accounts in banks or financial institutions, which are authorised by Central Bank of the UAE to provide the service.
 MoHRE does not process any transactions or deal with the owners of the companies that are not registered with the WPS until they register in the system. 
Payment can be in Emirati Dirham, the national currency of the UAE or in any other currency, if it is agreed upon between both parties in the employment contract.</t>
  </si>
  <si>
    <t>Categories excluded from WPS compliance</t>
  </si>
  <si>
    <t xml:space="preserve">
The following categories of employees are excluded from the WPS:
those who filed a lawsuit related to wages
those who have been reported absent as per a ‘work abandonment’ report
·new employees during the first 30 days from the due date of the wage
those who are on unpaid leave, provided that supporting documents are duly submitted to MoHRE.
Additionally, the following categories of employers are excluded from the WPS compliance:
a. UAE nationals owning fishing boats
b. UAE nationals owning public taxis
c. Banks
d. Houses of worship</t>
  </si>
  <si>
    <t>F</t>
  </si>
  <si>
    <t>Documents required for TRC for Companies</t>
  </si>
  <si>
    <t>1. Trade License copy with Shareholders attachment</t>
  </si>
  <si>
    <t>2. Memorandum of Association (MOA)</t>
  </si>
  <si>
    <t>3. Passport copy of the Manager/Partners</t>
  </si>
  <si>
    <t>4. Emirates ID Copy of the Manager/Partners</t>
  </si>
  <si>
    <t>5. Copy of the Partners/Managers Permits of Residence.</t>
  </si>
  <si>
    <t>6. Certified Copy of Audited Financials (Must cover the year for which certificate is requested, if the certificate is requested for the present year, the audit report must cover the past year)</t>
  </si>
  <si>
    <t>7. Six Month Bank statement of UAE Bank</t>
  </si>
  <si>
    <t>8. Certified Copy of Lease Agreement (Tenancy, Ejari)</t>
  </si>
  <si>
    <t>9. Tax forms (if any) from the country in which the certificate is to be submitted (If the Tax form requires FTA Signature and Stamp, the user is requested to send the original form to FTA .</t>
  </si>
  <si>
    <t>Service charge:</t>
  </si>
  <si>
    <t>&gt; AED 50 for submission (Excluding VAT)</t>
  </si>
  <si>
    <t>&gt; AED 1,750 for non-tax registrant legal persons (Excluding VAT)</t>
  </si>
  <si>
    <t>&gt; AED 1000 Service Charges (Protrack)</t>
  </si>
  <si>
    <t>G</t>
  </si>
  <si>
    <t>Documents required for TRC for Individials (Natural Person)</t>
  </si>
  <si>
    <t xml:space="preserve">Service Charge: </t>
  </si>
  <si>
    <t>&gt; AED 1,000 for non-tax registrant natural persons (Excluding VAT)</t>
  </si>
  <si>
    <t>&gt; AED 800 Service Charges (Protrack)</t>
  </si>
  <si>
    <t xml:space="preserve">    1. Passport.</t>
  </si>
  <si>
    <t xml:space="preserve">    2. Valid Residence Permit.</t>
  </si>
  <si>
    <t xml:space="preserve">    3. Emirates ID.</t>
  </si>
  <si>
    <t xml:space="preserve">    4. A certified copy of residential lease agreement.</t>
  </si>
  <si>
    <t xml:space="preserve">    5. Source of income/salary certificate.</t>
  </si>
  <si>
    <t xml:space="preserve">    6. A bank statement issued by a local bank covering 6 months within the financial year  related to the request.</t>
  </si>
  <si>
    <t xml:space="preserve">    7. Entry and exit report from Federal Authority of Identity and Citizenship or a local competent Government entity.</t>
  </si>
  <si>
    <t>VAT on Second Hand Goods - method of taxation?</t>
  </si>
  <si>
    <r>
      <t xml:space="preserve">A Taxable Person may calculate Tax on the profit margin when supplying certain Goods if they were purchased from a non-Registrant or another Taxable Person using the profit margin scheme, or if Input Tax was not recovered.
</t>
    </r>
    <r>
      <rPr>
        <b/>
        <sz val="11"/>
        <color theme="1"/>
        <rFont val="Calibri"/>
        <family val="2"/>
        <scheme val="minor"/>
      </rPr>
      <t xml:space="preserve">
Eligible Goods include :
</t>
    </r>
    <r>
      <rPr>
        <i/>
        <sz val="11"/>
        <color theme="1"/>
        <rFont val="Calibri"/>
        <family val="2"/>
        <scheme val="minor"/>
      </rPr>
      <t xml:space="preserve">- second-hand goods, 
- antiques (over 50 years old), and 
- collectors' items (e.g., stamps, coins, currency).
</t>
    </r>
    <r>
      <rPr>
        <sz val="11"/>
        <color theme="1"/>
        <rFont val="Calibri"/>
        <family val="2"/>
        <scheme val="minor"/>
      </rPr>
      <t xml:space="preserve">
The profit margin is the difference between the purchase and selling price and is considered</t>
    </r>
    <r>
      <rPr>
        <b/>
        <i/>
        <sz val="11"/>
        <color theme="1"/>
        <rFont val="Calibri"/>
        <family val="2"/>
        <scheme val="minor"/>
      </rPr>
      <t xml:space="preserve"> tax-inclusive.</t>
    </r>
    <r>
      <rPr>
        <sz val="11"/>
        <color theme="1"/>
        <rFont val="Calibri"/>
        <family val="2"/>
        <scheme val="minor"/>
      </rPr>
      <t xml:space="preserve"> The purchase price includes associated costs. A Taxable Person cannot use this scheme if a Tax Invoice explicitly states the Tax amount.
Records must be kept, including a stock book and purchase invoices. If purchased from a non-Registrant, the buyer must issue an invoice with specific details. When Tax is charged based on the profit margin, the Tax Invoice must indicate this but not show the Tax amount separately.</t>
    </r>
  </si>
  <si>
    <t>What are zero Rate Export of Goods -- Rules?</t>
  </si>
  <si>
    <r>
      <t xml:space="preserve">1. </t>
    </r>
    <r>
      <rPr>
        <b/>
        <sz val="11"/>
        <color theme="1"/>
        <rFont val="Calibri"/>
        <family val="2"/>
        <scheme val="minor"/>
      </rPr>
      <t xml:space="preserve">Direct Export (Zero-Rated Tax)
</t>
    </r>
    <r>
      <rPr>
        <sz val="11"/>
        <color theme="1"/>
        <rFont val="Calibri"/>
        <family val="2"/>
        <scheme val="minor"/>
      </rPr>
      <t xml:space="preserve">
Goods must be exported outside the Implementing States or placed in a customs suspension regime within 90 days of supply.
The exporter must retain one of the following as proof of export:
Customs declaration and commercial evidence.
Shipping certificate and official evidence.
Customs declaration proving customs suspension.</t>
    </r>
  </si>
  <si>
    <t>Indirect Export (Zero-Rated Tax)
Goods must be exported outside the Implementing States or placed in a customs suspension regime within 90 days under an agreement between the supplier and overseas customer.
The overseas customer (or agent) must provide proof of export.
Goods must not be used, altered, or leave the State in possession of a passenger or crew member.</t>
  </si>
  <si>
    <t>Exceptions &amp; Special Cases
- Movement of goods to a Designated Zone is not considered an export.
- Authorities may reject insufficient evidence and request alternative proof.
- The 90-day period may be extended due to uncontrollable circumstances.
- If goods are not exported within the required period, standard tax rates apply.
- Goods destroyed beyond the control of both parties remain zero-rated.
- Customs authorities will verify export details based on tax risk classification.</t>
  </si>
  <si>
    <r>
      <rPr>
        <b/>
        <sz val="11"/>
        <color theme="1"/>
        <rFont val="Calibri"/>
        <family val="2"/>
        <scheme val="minor"/>
      </rPr>
      <t>1. Official Evidence</t>
    </r>
    <r>
      <rPr>
        <sz val="11"/>
        <color theme="1"/>
        <rFont val="Calibri"/>
        <family val="2"/>
        <scheme val="minor"/>
      </rPr>
      <t xml:space="preserve">
Export certificate or clearance certificate issued by:- 
- Customs departments in the State, - Competent authorities in the State., - Authorities in the destination country confirming entry of goods.
</t>
    </r>
    <r>
      <rPr>
        <b/>
        <sz val="11"/>
        <color theme="1"/>
        <rFont val="Calibri"/>
        <family val="2"/>
        <scheme val="minor"/>
      </rPr>
      <t xml:space="preserve">2. Commercial Evidence
</t>
    </r>
    <r>
      <rPr>
        <sz val="11"/>
        <color theme="1"/>
        <rFont val="Calibri"/>
        <family val="2"/>
        <scheme val="minor"/>
      </rPr>
      <t xml:space="preserve">Issued by sea, air, or land transport companies/agents.
Includes one of the following:
 - Air: Air waybill or air manifest.,  - Sea: Sea waybill or sea manifest.,  - Land: Land waybill or land manifest.
</t>
    </r>
    <r>
      <rPr>
        <b/>
        <sz val="11"/>
        <color theme="1"/>
        <rFont val="Calibri"/>
        <family val="2"/>
        <scheme val="minor"/>
      </rPr>
      <t xml:space="preserve">3.Shipping Certificate
</t>
    </r>
    <r>
      <rPr>
        <sz val="11"/>
        <color theme="1"/>
        <rFont val="Calibri"/>
        <family val="2"/>
        <scheme val="minor"/>
      </rPr>
      <t xml:space="preserve">Alternative to commercial evidence if unavailable.
Issued by sea, air, or land transport companies/agents.
</t>
    </r>
    <r>
      <rPr>
        <b/>
        <sz val="11"/>
        <color theme="1"/>
        <rFont val="Calibri"/>
        <family val="2"/>
        <scheme val="minor"/>
      </rPr>
      <t xml:space="preserve">4.Mandatory Details in Export Proof (Official or Commercial)
</t>
    </r>
    <r>
      <rPr>
        <sz val="11"/>
        <color theme="1"/>
        <rFont val="Calibri"/>
        <family val="2"/>
        <scheme val="minor"/>
      </rPr>
      <t>Supplier information,Consignor details, Goods description, Goods value, Export destination, Mode of transport and export route.</t>
    </r>
  </si>
  <si>
    <t>What are various types of Evidences required for the statepurpose of zero rated supply?</t>
  </si>
  <si>
    <t>Considtions for Export of Services:</t>
  </si>
  <si>
    <r>
      <rPr>
        <b/>
        <sz val="11"/>
        <color theme="1"/>
        <rFont val="Calibri"/>
        <family val="2"/>
        <scheme val="minor"/>
      </rPr>
      <t>General Conditions for Zero-Rating</t>
    </r>
    <r>
      <rPr>
        <sz val="11"/>
        <color theme="1"/>
        <rFont val="Calibri"/>
        <family val="2"/>
        <scheme val="minor"/>
      </rPr>
      <t xml:space="preserve">
Services are supplied to a recipient without a Place of Residence in an Implementing State and who is outside the State when the services are performed.
</t>
    </r>
    <r>
      <rPr>
        <b/>
        <sz val="11"/>
        <color theme="1"/>
        <rFont val="Calibri"/>
        <family val="2"/>
        <scheme val="minor"/>
      </rPr>
      <t xml:space="preserve">
Services must not be directly related to:
</t>
    </r>
    <r>
      <rPr>
        <sz val="11"/>
        <color theme="1"/>
        <rFont val="Calibri"/>
        <family val="2"/>
        <scheme val="minor"/>
      </rPr>
      <t xml:space="preserve">Real estate in the State or any improvements to it.
Moveable assets located in the State at the time of service.
Services must not be considered as performed in the State or a Designated Zone as per relevant laws.
</t>
    </r>
    <r>
      <rPr>
        <b/>
        <sz val="11"/>
        <color theme="1"/>
        <rFont val="Calibri"/>
        <family val="2"/>
        <scheme val="minor"/>
      </rPr>
      <t xml:space="preserve">Other Zero-Rated Cases
</t>
    </r>
    <r>
      <rPr>
        <sz val="11"/>
        <color theme="1"/>
        <rFont val="Calibri"/>
        <family val="2"/>
        <scheme val="minor"/>
      </rPr>
      <t xml:space="preserve">Services are actually performed outside the Implementing States.
Services involve arranging services performed outside the Implementing States.
Services involve facilitating outbound tour packages (only for that part of the service).
</t>
    </r>
    <r>
      <rPr>
        <b/>
        <sz val="11"/>
        <color theme="1"/>
        <rFont val="Calibri"/>
        <family val="2"/>
        <scheme val="minor"/>
      </rPr>
      <t xml:space="preserve">Definition of "Outside the State"
</t>
    </r>
    <r>
      <rPr>
        <sz val="11"/>
        <color theme="1"/>
        <rFont val="Calibri"/>
        <family val="2"/>
        <scheme val="minor"/>
      </rPr>
      <t>A person is considered outside the State if their presence in the State is less than 30 days and is not connected to the supply of services.</t>
    </r>
  </si>
  <si>
    <t>What is a tourism package under VAT regulations?</t>
  </si>
  <si>
    <r>
      <t xml:space="preserve">A tourism package refers to a bundled service that includes one or more tourism-related products such as </t>
    </r>
    <r>
      <rPr>
        <b/>
        <sz val="11"/>
        <color theme="1"/>
        <rFont val="Calibri"/>
        <family val="2"/>
        <scheme val="minor"/>
      </rPr>
      <t>accommodation, meals, transport, and activities</t>
    </r>
    <r>
      <rPr>
        <sz val="11"/>
        <color theme="1"/>
        <rFont val="Calibri"/>
        <family val="2"/>
        <scheme val="minor"/>
      </rPr>
      <t>, provided either inside or outside the Implementing States.</t>
    </r>
  </si>
  <si>
    <t>Are tourism packages subject to VAT?</t>
  </si>
  <si>
    <t>Yes, tourism packages are generally subject to VAT. However, the tax treatment depends on where the services are performed:
Domestic Tourism Packages (services provided within the State) are subject to the standard VAT rate.
Outbound Tourism Packages (services provided outside the Implementing States) may be zero-rated for VAT.</t>
  </si>
  <si>
    <t>What does "facilitation of outbound tour packages" mean?</t>
  </si>
  <si>
    <t>This refers to the service of organizing and packaging tourism products that are performed outside the Implementing States. These may include accommodation, meals, transport, and activities outside the Implementing States. The facilitation of such packages qualifies for zero-rated VAT.</t>
  </si>
  <si>
    <t>Can VAT be charged on outbound tourism services?</t>
  </si>
  <si>
    <t>Outbound tourism services are generally zero-rated if:
The services are provided outside the Implementing States.
The service provider is merely arranging or facilitating the package.
However, any portion of the tourism package that includes services performed within the State (such as airport transfers, visa processing, or travel insurance) may be subject to the standard VAT rate.</t>
  </si>
  <si>
    <t>Can a travel agency recover Input VAT on costs related to outbound tourism packages?</t>
  </si>
  <si>
    <r>
      <t xml:space="preserve">If the agency is facilitating outbound tourism services that qualify for </t>
    </r>
    <r>
      <rPr>
        <b/>
        <sz val="11"/>
        <color theme="1"/>
        <rFont val="Calibri"/>
        <family val="2"/>
        <scheme val="minor"/>
      </rPr>
      <t>zero-rated VAT</t>
    </r>
    <r>
      <rPr>
        <sz val="11"/>
        <color theme="1"/>
        <rFont val="Calibri"/>
        <family val="2"/>
        <scheme val="minor"/>
      </rPr>
      <t xml:space="preserve">, it may recover the </t>
    </r>
    <r>
      <rPr>
        <b/>
        <sz val="11"/>
        <color theme="1"/>
        <rFont val="Calibri"/>
        <family val="2"/>
        <scheme val="minor"/>
      </rPr>
      <t>Input VAT</t>
    </r>
    <r>
      <rPr>
        <sz val="11"/>
        <color theme="1"/>
        <rFont val="Calibri"/>
        <family val="2"/>
        <scheme val="minor"/>
      </rPr>
      <t xml:space="preserve"> on related expenses, subject to compliance with VAT regulations.</t>
    </r>
  </si>
  <si>
    <t>Are there any documentation requirements for zero-rated outbound tourism services?</t>
  </si>
  <si>
    <t>Yes, businesses must retain evidence proving the place of service to apply zero-rating, such as:
Contracts with service providers outside the Implementing States.
Invoices showing that the services were performed outside the Implementing States.
Travel bookings and payment records.</t>
  </si>
  <si>
    <t>Are all precious metals zero-rated for VAT?</t>
  </si>
  <si>
    <t>No, only investment precious metals—gold, silver, and platinum—qualify for zero-rated VAT. To qualify, the metal must:
Have a purity of 99% or more.
Be in a form tradeable in global bullion markets.</t>
  </si>
  <si>
    <t>Does VAT apply to the import of investment precious metals?</t>
  </si>
  <si>
    <t>No, the import of investment precious metals that meet the required purity and tradeability standards is also zero-rated, meaning no VAT is charged.</t>
  </si>
  <si>
    <t>What qualifies as a residential building under VAT regulations?</t>
  </si>
  <si>
    <t>A residential building is a structure designed for human occupation and includes:
Principal places of residence.
Residential accommodation for students, school pupils, armed forces, and police.
Orphanages, nursing homes, and rest homes.</t>
  </si>
  <si>
    <t>What types of buildings are NOT considered residential?</t>
  </si>
  <si>
    <t>The following are not classified as residential buildings:
Movable structures not fixed to the ground.
Hotels, motels, bed &amp; breakfasts, hospitals, serviced apartments, and similar establishments.
Buildings constructed or converted without lawful authority.</t>
  </si>
  <si>
    <t>Is the sale or lease of residential buildings subject to VAT?</t>
  </si>
  <si>
    <t>The first supply (sale or lease) of a new residential building within three years of its completion is zero-rated (0% VAT).
Subsequent sales or leases of residential buildings are exempt from VAT.</t>
  </si>
  <si>
    <t>What about VAT on commercial residential buildings (e.g., hotels, serviced apartments)?</t>
  </si>
  <si>
    <t>The sale or lease of hotels, serviced apartments, or similar establishments is subject to the standard VAT rate of 5%.
Short-term stays (less than 6 months) in these properties are taxable at 5%.</t>
  </si>
  <si>
    <t>Can VAT be recovered on expenses related to residential buildings?</t>
  </si>
  <si>
    <t>VAT incurred on expenses related to residential buildings used for exempt supplies (e.g., leasing after the first supply) cannot be recovered.
VAT on expenses for commercial residential buildings (hotels, serviced apartments, etc.) is recoverable if the business is VAT-registered.</t>
  </si>
  <si>
    <t>Are educational services subject to VAT?</t>
  </si>
  <si>
    <t>What supplies related to education are also zero-rated?</t>
  </si>
  <si>
    <t>Goods and services directly related to zero-rated educational services.
Printed and digital reading materials related to the curriculum.</t>
  </si>
  <si>
    <t>Educational services are zero-rated (0% VAT) if all the following conditions are met:
a. They follow a recognized curriculum approved by a government authority,
b. They are provided by a recognized educational institution &amp;
c. For Higher education institutions must be government-owned or receive at least 50% government funding to qualify.</t>
  </si>
  <si>
    <t>What educational supplies are subject to VAT (5%)?</t>
  </si>
  <si>
    <t>he following are taxable at 5%:
Supplies made to non-enrolled persons.
Non-educational goods (e.g., uniforms, electronic devices).
Food, beverages, and vending machine sales.
Extracurricular activities (if charged separately).
Field trips (unless directly related to the curriculum and non-recreational).
Student organization memberships.</t>
  </si>
  <si>
    <t>Are healthcare services subject to VAT?</t>
  </si>
  <si>
    <t>Healthcare services are zero-rated (0% VAT) if they:
Are medically necessary (including preventive care).
Are provided by a licensed healthcare professional or institution.</t>
  </si>
  <si>
    <t>What healthcare-related supplies are also zero-rated?</t>
  </si>
  <si>
    <t>Pharmaceutical products (as per Cabinet decision).
Medical equipment (as per Cabinet decision).
Goods supplied as part of essential healthcare services.</t>
  </si>
  <si>
    <t>What healthcare services are subject to VAT (5%)?</t>
  </si>
  <si>
    <t>The following are taxable at 5%:
Healthcare services provided in holiday accommodations or entertainment facilities.
Elective cosmetic treatments (unless medically necessary).</t>
  </si>
  <si>
    <t>When is VAT not applicable on imported goods?</t>
  </si>
  <si>
    <t>VAT is not applicable if:
The goods are under customs duty suspension (e.g., temporary admission, customs warehouse, transit, re-export).
The goods are imported into a Designated Zone from outside the UAE.
The goods qualify for customs duty exemptions (e.g., military imports, personal effects, returned goods).
The goods are taxable in another Implementing State before entering the UAE.</t>
  </si>
  <si>
    <t>What happens if goods under customs suspension are later supplied in the UAE?</t>
  </si>
  <si>
    <t>If goods that were initially exempt under a customs suspension arrangement are later supplied for use in the UAE, they will be subject to VAT at the applicable rate. Importers must declare and pay VAT accordingly.</t>
  </si>
  <si>
    <t>How to Avail Customs Suspension in the UAE?</t>
  </si>
  <si>
    <r>
      <t xml:space="preserve">In the UAE, customs suspension allows businesses to </t>
    </r>
    <r>
      <rPr>
        <b/>
        <sz val="11"/>
        <color theme="1"/>
        <rFont val="Calibri"/>
        <family val="2"/>
        <scheme val="minor"/>
      </rPr>
      <t>import goods without paying customs duties or VAT</t>
    </r>
    <r>
      <rPr>
        <sz val="11"/>
        <color theme="1"/>
        <rFont val="Calibri"/>
        <family val="2"/>
        <scheme val="minor"/>
      </rPr>
      <t xml:space="preserve"> under specific conditions, as per the </t>
    </r>
    <r>
      <rPr>
        <b/>
        <sz val="11"/>
        <color theme="1"/>
        <rFont val="Calibri"/>
        <family val="2"/>
        <scheme val="minor"/>
      </rPr>
      <t>GCC Common Customs Law</t>
    </r>
    <r>
      <rPr>
        <sz val="11"/>
        <color theme="1"/>
        <rFont val="Calibri"/>
        <family val="2"/>
        <scheme val="minor"/>
      </rPr>
      <t>. To avail of customs suspension, follow these steps:</t>
    </r>
  </si>
  <si>
    <t>1. Determine Eligibility</t>
  </si>
  <si>
    <t>You can apply for customs suspension if your goods fall under any of these categories:</t>
  </si>
  <si>
    <r>
      <t>Temporary Admission</t>
    </r>
    <r>
      <rPr>
        <sz val="11"/>
        <color theme="1"/>
        <rFont val="Calibri"/>
        <family val="2"/>
        <scheme val="minor"/>
      </rPr>
      <t xml:space="preserve"> (e.g., goods for exhibitions, machinery for projects).</t>
    </r>
  </si>
  <si>
    <r>
      <t>Customs Warehouse</t>
    </r>
    <r>
      <rPr>
        <sz val="11"/>
        <color theme="1"/>
        <rFont val="Calibri"/>
        <family val="2"/>
        <scheme val="minor"/>
      </rPr>
      <t xml:space="preserve"> (goods stored in a bonded warehouse for re-export).</t>
    </r>
  </si>
  <si>
    <r>
      <t>Transit</t>
    </r>
    <r>
      <rPr>
        <sz val="11"/>
        <color theme="1"/>
        <rFont val="Calibri"/>
        <family val="2"/>
        <scheme val="minor"/>
      </rPr>
      <t xml:space="preserve"> (goods passing through the UAE to another country).</t>
    </r>
  </si>
  <si>
    <r>
      <t>Re-Export</t>
    </r>
    <r>
      <rPr>
        <sz val="11"/>
        <color theme="1"/>
        <rFont val="Calibri"/>
        <family val="2"/>
        <scheme val="minor"/>
      </rPr>
      <t xml:space="preserve"> (goods imported but intended to be sent out of the UAE without modification).</t>
    </r>
  </si>
  <si>
    <t>2. Submit an Application to UAE Customs</t>
  </si>
  <si>
    <r>
      <t xml:space="preserve">Apply through the </t>
    </r>
    <r>
      <rPr>
        <b/>
        <sz val="11"/>
        <color theme="1"/>
        <rFont val="Calibri"/>
        <family val="2"/>
        <scheme val="minor"/>
      </rPr>
      <t>Federal Customs Authority (FCA)</t>
    </r>
    <r>
      <rPr>
        <sz val="11"/>
        <color theme="1"/>
        <rFont val="Calibri"/>
        <family val="2"/>
        <scheme val="minor"/>
      </rPr>
      <t xml:space="preserve"> or the relevant </t>
    </r>
    <r>
      <rPr>
        <b/>
        <sz val="11"/>
        <color theme="1"/>
        <rFont val="Calibri"/>
        <family val="2"/>
        <scheme val="minor"/>
      </rPr>
      <t>Emirate’s Customs Department</t>
    </r>
    <r>
      <rPr>
        <sz val="11"/>
        <color theme="1"/>
        <rFont val="Calibri"/>
        <family val="2"/>
        <scheme val="minor"/>
      </rPr>
      <t xml:space="preserve"> (e.g., Dubai Customs, Abu Dhabi Customs).</t>
    </r>
  </si>
  <si>
    <r>
      <t xml:space="preserve">Provide </t>
    </r>
    <r>
      <rPr>
        <b/>
        <sz val="11"/>
        <color theme="1"/>
        <rFont val="Calibri"/>
        <family val="2"/>
        <scheme val="minor"/>
      </rPr>
      <t>supporting documents</t>
    </r>
    <r>
      <rPr>
        <sz val="11"/>
        <color theme="1"/>
        <rFont val="Calibri"/>
        <family val="2"/>
        <scheme val="minor"/>
      </rPr>
      <t>, such as:</t>
    </r>
  </si>
  <si>
    <t>Commercial invoice and packing list</t>
  </si>
  <si>
    <t>Bill of lading/air waybill</t>
  </si>
  <si>
    <t>Import/export license</t>
  </si>
  <si>
    <t>Detailed description of goods</t>
  </si>
  <si>
    <t>3. Provide a Financial Guarantee or Cash Deposit</t>
  </si>
  <si>
    <r>
      <t xml:space="preserve">You may need to </t>
    </r>
    <r>
      <rPr>
        <b/>
        <sz val="11"/>
        <color theme="1"/>
        <rFont val="Calibri"/>
        <family val="2"/>
        <scheme val="minor"/>
      </rPr>
      <t>submit a financial guarantee or cash deposit</t>
    </r>
    <r>
      <rPr>
        <sz val="11"/>
        <color theme="1"/>
        <rFont val="Calibri"/>
        <family val="2"/>
        <scheme val="minor"/>
      </rPr>
      <t xml:space="preserve"> equal to the value of applicable duties and VAT.</t>
    </r>
  </si>
  <si>
    <r>
      <t xml:space="preserve">The guarantee is </t>
    </r>
    <r>
      <rPr>
        <b/>
        <sz val="11"/>
        <color theme="1"/>
        <rFont val="Calibri"/>
        <family val="2"/>
        <scheme val="minor"/>
      </rPr>
      <t>refunded</t>
    </r>
    <r>
      <rPr>
        <sz val="11"/>
        <color theme="1"/>
        <rFont val="Calibri"/>
        <family val="2"/>
        <scheme val="minor"/>
      </rPr>
      <t xml:space="preserve"> when goods are </t>
    </r>
    <r>
      <rPr>
        <b/>
        <sz val="11"/>
        <color theme="1"/>
        <rFont val="Calibri"/>
        <family val="2"/>
        <scheme val="minor"/>
      </rPr>
      <t>exported, re-exported, or moved under a customs-approved process</t>
    </r>
    <r>
      <rPr>
        <sz val="11"/>
        <color theme="1"/>
        <rFont val="Calibri"/>
        <family val="2"/>
        <scheme val="minor"/>
      </rPr>
      <t>.</t>
    </r>
  </si>
  <si>
    <t>4. Follow Customs Control Procedures</t>
  </si>
  <si>
    <r>
      <t xml:space="preserve">Goods under customs suspension are </t>
    </r>
    <r>
      <rPr>
        <b/>
        <sz val="11"/>
        <color theme="1"/>
        <rFont val="Calibri"/>
        <family val="2"/>
        <scheme val="minor"/>
      </rPr>
      <t>strictly monitored</t>
    </r>
    <r>
      <rPr>
        <sz val="11"/>
        <color theme="1"/>
        <rFont val="Calibri"/>
        <family val="2"/>
        <scheme val="minor"/>
      </rPr>
      <t xml:space="preserve"> and must remain in </t>
    </r>
    <r>
      <rPr>
        <b/>
        <sz val="11"/>
        <color theme="1"/>
        <rFont val="Calibri"/>
        <family val="2"/>
        <scheme val="minor"/>
      </rPr>
      <t>approved zones</t>
    </r>
    <r>
      <rPr>
        <sz val="11"/>
        <color theme="1"/>
        <rFont val="Calibri"/>
        <family val="2"/>
        <scheme val="minor"/>
      </rPr>
      <t xml:space="preserve"> (e.g., bonded warehouses, free zones).</t>
    </r>
  </si>
  <si>
    <r>
      <t xml:space="preserve">Proper </t>
    </r>
    <r>
      <rPr>
        <b/>
        <sz val="11"/>
        <color theme="1"/>
        <rFont val="Calibri"/>
        <family val="2"/>
        <scheme val="minor"/>
      </rPr>
      <t>record-keeping</t>
    </r>
    <r>
      <rPr>
        <sz val="11"/>
        <color theme="1"/>
        <rFont val="Calibri"/>
        <family val="2"/>
        <scheme val="minor"/>
      </rPr>
      <t xml:space="preserve"> is required to track goods and ensure compliance.</t>
    </r>
  </si>
  <si>
    <t>5. Final Clearance or Re-Export</t>
  </si>
  <si>
    <r>
      <t xml:space="preserve">Once the goods are exported or moved under the approved process, </t>
    </r>
    <r>
      <rPr>
        <b/>
        <sz val="11"/>
        <color theme="1"/>
        <rFont val="Calibri"/>
        <family val="2"/>
        <scheme val="minor"/>
      </rPr>
      <t>customs authorities release the suspension</t>
    </r>
    <r>
      <rPr>
        <sz val="11"/>
        <color theme="1"/>
        <rFont val="Calibri"/>
        <family val="2"/>
        <scheme val="minor"/>
      </rPr>
      <t>, and any deposited security may be refunded.</t>
    </r>
  </si>
  <si>
    <r>
      <t xml:space="preserve">If the goods are </t>
    </r>
    <r>
      <rPr>
        <b/>
        <sz val="11"/>
        <color theme="1"/>
        <rFont val="Calibri"/>
        <family val="2"/>
        <scheme val="minor"/>
      </rPr>
      <t>sold in the UAE</t>
    </r>
    <r>
      <rPr>
        <sz val="11"/>
        <color theme="1"/>
        <rFont val="Calibri"/>
        <family val="2"/>
        <scheme val="minor"/>
      </rPr>
      <t xml:space="preserve">, </t>
    </r>
    <r>
      <rPr>
        <b/>
        <sz val="11"/>
        <color theme="1"/>
        <rFont val="Calibri"/>
        <family val="2"/>
        <scheme val="minor"/>
      </rPr>
      <t>VAT and customs duties must be paid</t>
    </r>
    <r>
      <rPr>
        <sz val="11"/>
        <color theme="1"/>
        <rFont val="Calibri"/>
        <family val="2"/>
        <scheme val="minor"/>
      </rPr>
      <t xml:space="preserve"> before clearance.</t>
    </r>
  </si>
  <si>
    <t>When does RCM apply to the import of goods?</t>
  </si>
  <si>
    <t>RCM applies to imported goods if the Taxable Person:
Is registered for VAT in the UAE.
Provides the required customs details for verification.
Has a valid customs registration number.
Complies with FTA rules on imports.</t>
  </si>
  <si>
    <t>How does RCM apply to imported services?</t>
  </si>
  <si>
    <t>If a UAE-based Taxable Person receives services from a supplier outside the UAE, RCM applies, and the recipient must:
- Account for VAT as if they were the supplier.
- Pay VAT at the standard rate.
- Declare and pay VAT in the relevant tax return.</t>
  </si>
  <si>
    <t>What records must be kept for RCM transactions?</t>
  </si>
  <si>
    <t>The Taxable Person must keep:
Supplier’s invoice with details of goods or services and the amount paid.
Customs statement (for imported goods) showing details and value.</t>
  </si>
  <si>
    <t>Is VAT applicable on transfers between Designated Zones?</t>
  </si>
  <si>
    <t>No, VAT is not applicable on transfers between Designated Zones if both of the following conditions are met:
The goods are not released, used, or altered during the transfer.
The transfer follows customs suspension rules under GCC Common Customs Law.</t>
  </si>
  <si>
    <t>Can the FTA require a financial guarantee for transferring goods between Designated Zones?</t>
  </si>
  <si>
    <t>Yes, the Federal Tax Authority (FTA) may ask the owner of goods to provide a financial guarantee to cover potential VAT liability if the conditions for tax-free movement are not met.</t>
  </si>
  <si>
    <t>Is VAT applicable on goods supplied within a Designated Zone?</t>
  </si>
  <si>
    <r>
      <t xml:space="preserve">Yes, VAT applies if the goods are consumed within the Designated Zone, unless:
They are </t>
    </r>
    <r>
      <rPr>
        <b/>
        <sz val="11"/>
        <color theme="1"/>
        <rFont val="Calibri"/>
        <family val="2"/>
        <scheme val="minor"/>
      </rPr>
      <t>used in the production of other goods in the same Designated Zone.</t>
    </r>
    <r>
      <rPr>
        <sz val="11"/>
        <color theme="1"/>
        <rFont val="Calibri"/>
        <family val="2"/>
        <scheme val="minor"/>
      </rPr>
      <t xml:space="preserve">
They are </t>
    </r>
    <r>
      <rPr>
        <b/>
        <sz val="11"/>
        <color theme="1"/>
        <rFont val="Calibri"/>
        <family val="2"/>
        <scheme val="minor"/>
      </rPr>
      <t>exported outside</t>
    </r>
    <r>
      <rPr>
        <sz val="11"/>
        <color theme="1"/>
        <rFont val="Calibri"/>
        <family val="2"/>
        <scheme val="minor"/>
      </rPr>
      <t xml:space="preserve"> the UAE with valid customs documentation.
They are moved to the UAE mainland</t>
    </r>
    <r>
      <rPr>
        <b/>
        <sz val="11"/>
        <color theme="1"/>
        <rFont val="Calibri"/>
        <family val="2"/>
        <scheme val="minor"/>
      </rPr>
      <t xml:space="preserve"> with VAT applied on import.</t>
    </r>
  </si>
  <si>
    <t>Are services supplied in a Designated Zone subject to VAT?</t>
  </si>
  <si>
    <t>Yes, services supplied within a Designated Zone are treated as supplied within the UAE and are subject to VAT. However, shipping or delivery services for exported goods may be treated as an out-of-scope supply if specific conditions are met.</t>
  </si>
  <si>
    <t>What happens if goods in a Designated Zone are consumed or missing?</t>
  </si>
  <si>
    <r>
      <t xml:space="preserve">If goods are </t>
    </r>
    <r>
      <rPr>
        <b/>
        <sz val="11"/>
        <color theme="1"/>
        <rFont val="Calibri"/>
        <family val="2"/>
        <scheme val="minor"/>
      </rPr>
      <t>consumed</t>
    </r>
    <r>
      <rPr>
        <sz val="11"/>
        <color theme="1"/>
        <rFont val="Calibri"/>
        <family val="2"/>
        <scheme val="minor"/>
      </rPr>
      <t xml:space="preserve"> in a Designated Zone or there is a </t>
    </r>
    <r>
      <rPr>
        <b/>
        <sz val="11"/>
        <color theme="1"/>
        <rFont val="Calibri"/>
        <family val="2"/>
        <scheme val="minor"/>
      </rPr>
      <t>shortage</t>
    </r>
    <r>
      <rPr>
        <sz val="11"/>
        <color theme="1"/>
        <rFont val="Calibri"/>
        <family val="2"/>
        <scheme val="minor"/>
      </rPr>
      <t xml:space="preserve">, they are considered </t>
    </r>
    <r>
      <rPr>
        <b/>
        <sz val="11"/>
        <color theme="1"/>
        <rFont val="Calibri"/>
        <family val="2"/>
        <scheme val="minor"/>
      </rPr>
      <t>imported into the UAE</t>
    </r>
    <r>
      <rPr>
        <sz val="11"/>
        <color theme="1"/>
        <rFont val="Calibri"/>
        <family val="2"/>
        <scheme val="minor"/>
      </rPr>
      <t xml:space="preserve">, and VAT becomes </t>
    </r>
    <r>
      <rPr>
        <b/>
        <sz val="11"/>
        <color theme="1"/>
        <rFont val="Calibri"/>
        <family val="2"/>
        <scheme val="minor"/>
      </rPr>
      <t>payable by the owner</t>
    </r>
    <r>
      <rPr>
        <sz val="11"/>
        <color theme="1"/>
        <rFont val="Calibri"/>
        <family val="2"/>
        <scheme val="minor"/>
      </rPr>
      <t xml:space="preserve"> unless the goods were used in the production of another non-consumed item.</t>
    </r>
  </si>
  <si>
    <t>Do businesses in Designated Zones have a place of residence in the UAE?</t>
  </si>
  <si>
    <r>
      <t xml:space="preserve">Yes, any person or business </t>
    </r>
    <r>
      <rPr>
        <b/>
        <sz val="11"/>
        <color theme="1"/>
        <rFont val="Calibri"/>
        <family val="2"/>
        <scheme val="minor"/>
      </rPr>
      <t>established, registered, or having a Place of Residence</t>
    </r>
    <r>
      <rPr>
        <sz val="11"/>
        <color theme="1"/>
        <rFont val="Calibri"/>
        <family val="2"/>
        <scheme val="minor"/>
      </rPr>
      <t xml:space="preserve"> in a Designated Zone is considered to have a </t>
    </r>
    <r>
      <rPr>
        <b/>
        <sz val="11"/>
        <color theme="1"/>
        <rFont val="Calibri"/>
        <family val="2"/>
        <scheme val="minor"/>
      </rPr>
      <t>Place of Residence in the UAE</t>
    </r>
    <r>
      <rPr>
        <sz val="11"/>
        <color theme="1"/>
        <rFont val="Calibri"/>
        <family val="2"/>
        <scheme val="minor"/>
      </rPr>
      <t xml:space="preserve"> for VAT purposes.</t>
    </r>
  </si>
  <si>
    <t>What types of input tax cannot be recovered under UAE VAT regulations?</t>
  </si>
  <si>
    <r>
      <t xml:space="preserve">Input tax is non-recoverable if incurred on:
</t>
    </r>
    <r>
      <rPr>
        <b/>
        <sz val="11"/>
        <color theme="1"/>
        <rFont val="Calibri"/>
        <family val="2"/>
        <scheme val="minor"/>
      </rPr>
      <t>Entertainment expenses</t>
    </r>
    <r>
      <rPr>
        <sz val="11"/>
        <color theme="1"/>
        <rFont val="Calibri"/>
        <family val="2"/>
        <scheme val="minor"/>
      </rPr>
      <t xml:space="preserve"> for </t>
    </r>
    <r>
      <rPr>
        <b/>
        <sz val="11"/>
        <color theme="1"/>
        <rFont val="Calibri"/>
        <family val="2"/>
        <scheme val="minor"/>
      </rPr>
      <t>non</t>
    </r>
    <r>
      <rPr>
        <sz val="11"/>
        <color theme="1"/>
        <rFont val="Calibri"/>
        <family val="2"/>
        <scheme val="minor"/>
      </rPr>
      <t xml:space="preserve">-employees, including customers, investors, and officials.
</t>
    </r>
    <r>
      <rPr>
        <b/>
        <sz val="11"/>
        <color theme="1"/>
        <rFont val="Calibri"/>
        <family val="2"/>
        <scheme val="minor"/>
      </rPr>
      <t>Motor vehicles</t>
    </r>
    <r>
      <rPr>
        <sz val="11"/>
        <color theme="1"/>
        <rFont val="Calibri"/>
        <family val="2"/>
        <scheme val="minor"/>
      </rPr>
      <t xml:space="preserve"> purchased, leased, or rented for business use but </t>
    </r>
    <r>
      <rPr>
        <b/>
        <sz val="11"/>
        <color theme="1"/>
        <rFont val="Calibri"/>
        <family val="2"/>
        <scheme val="minor"/>
      </rPr>
      <t>available for personal use.</t>
    </r>
    <r>
      <rPr>
        <sz val="11"/>
        <color theme="1"/>
        <rFont val="Calibri"/>
        <family val="2"/>
        <scheme val="minor"/>
      </rPr>
      <t xml:space="preserve">
</t>
    </r>
    <r>
      <rPr>
        <b/>
        <sz val="11"/>
        <color theme="1"/>
        <rFont val="Calibri"/>
        <family val="2"/>
        <scheme val="minor"/>
      </rPr>
      <t>Employee benefits</t>
    </r>
    <r>
      <rPr>
        <sz val="11"/>
        <color theme="1"/>
        <rFont val="Calibri"/>
        <family val="2"/>
        <scheme val="minor"/>
      </rPr>
      <t xml:space="preserve"> provided for personal use </t>
    </r>
    <r>
      <rPr>
        <b/>
        <sz val="11"/>
        <color theme="1"/>
        <rFont val="Calibri"/>
        <family val="2"/>
        <scheme val="minor"/>
      </rPr>
      <t>unless they are legally required, part of a contractual obligation, or a normal business practice.</t>
    </r>
  </si>
  <si>
    <t>What is considered an “entertainment service” for VAT purposes?</t>
  </si>
  <si>
    <r>
      <t xml:space="preserve">Entertainment services include </t>
    </r>
    <r>
      <rPr>
        <b/>
        <sz val="11"/>
        <color theme="1"/>
        <rFont val="Calibri"/>
        <family val="2"/>
        <scheme val="minor"/>
      </rPr>
      <t>hospitality</t>
    </r>
    <r>
      <rPr>
        <sz val="11"/>
        <color theme="1"/>
        <rFont val="Calibri"/>
        <family val="2"/>
        <scheme val="minor"/>
      </rPr>
      <t xml:space="preserve"> such as </t>
    </r>
    <r>
      <rPr>
        <b/>
        <sz val="11"/>
        <color theme="1"/>
        <rFont val="Calibri"/>
        <family val="2"/>
        <scheme val="minor"/>
      </rPr>
      <t>accommodation, food, drinks, event access, and recreational trips</t>
    </r>
    <r>
      <rPr>
        <sz val="11"/>
        <color theme="1"/>
        <rFont val="Calibri"/>
        <family val="2"/>
        <scheme val="minor"/>
      </rPr>
      <t xml:space="preserve"> that are not part of a normal business meeting.</t>
    </r>
  </si>
  <si>
    <t>Are all motor vehicles considered non-recoverable for input tax?</t>
  </si>
  <si>
    <t>No, VAT on motor vehicles can be recovered if the vehicle is:
A licensed taxi used for commercial transport.
An emergency vehicle (police, fire, ambulance, etc.).
A rental vehicle leased to customers as part of a car rental business.</t>
  </si>
  <si>
    <t>Are catering and accommodation services always considered entertainment?</t>
  </si>
  <si>
    <t>No, catering and accommodation services are not treated as entertainment if provided by a transport operator (e.g., airline) to passengers affected by delays.</t>
  </si>
  <si>
    <t>How is the recoverable tax amount determined?</t>
  </si>
  <si>
    <r>
      <t xml:space="preserve">A </t>
    </r>
    <r>
      <rPr>
        <b/>
        <sz val="11"/>
        <color theme="1"/>
        <rFont val="Calibri"/>
        <family val="2"/>
        <scheme val="minor"/>
      </rPr>
      <t>Taxable Person</t>
    </r>
    <r>
      <rPr>
        <sz val="11"/>
        <color theme="1"/>
        <rFont val="Calibri"/>
        <family val="2"/>
        <scheme val="minor"/>
      </rPr>
      <t xml:space="preserve"> can reclaim </t>
    </r>
    <r>
      <rPr>
        <b/>
        <sz val="11"/>
        <color theme="1"/>
        <rFont val="Calibri"/>
        <family val="2"/>
        <scheme val="minor"/>
      </rPr>
      <t>Input Tax</t>
    </r>
    <r>
      <rPr>
        <sz val="11"/>
        <color theme="1"/>
        <rFont val="Calibri"/>
        <family val="2"/>
        <scheme val="minor"/>
      </rPr>
      <t xml:space="preserve"> in a </t>
    </r>
    <r>
      <rPr>
        <b/>
        <sz val="11"/>
        <color theme="1"/>
        <rFont val="Calibri"/>
        <family val="2"/>
        <scheme val="minor"/>
      </rPr>
      <t>Tax Period</t>
    </r>
    <r>
      <rPr>
        <sz val="11"/>
        <color theme="1"/>
        <rFont val="Calibri"/>
        <family val="2"/>
        <scheme val="minor"/>
      </rPr>
      <t xml:space="preserve"> based on the portion of the </t>
    </r>
    <r>
      <rPr>
        <b/>
        <sz val="11"/>
        <color theme="1"/>
        <rFont val="Calibri"/>
        <family val="2"/>
        <scheme val="minor"/>
      </rPr>
      <t>Consideration (payment)</t>
    </r>
    <r>
      <rPr>
        <sz val="11"/>
        <color theme="1"/>
        <rFont val="Calibri"/>
        <family val="2"/>
        <scheme val="minor"/>
      </rPr>
      <t xml:space="preserve"> that has been paid for a supply of </t>
    </r>
    <r>
      <rPr>
        <b/>
        <sz val="11"/>
        <color theme="1"/>
        <rFont val="Calibri"/>
        <family val="2"/>
        <scheme val="minor"/>
      </rPr>
      <t>Goods or Services</t>
    </r>
    <r>
      <rPr>
        <sz val="11"/>
        <color theme="1"/>
        <rFont val="Calibri"/>
        <family val="2"/>
        <scheme val="minor"/>
      </rPr>
      <t xml:space="preserve"> during that period.</t>
    </r>
  </si>
  <si>
    <t>Can a Taxable Person recover Input Tax if payment is not yet made?</t>
  </si>
  <si>
    <r>
      <t xml:space="preserve">Yes, a Taxable Person can still </t>
    </r>
    <r>
      <rPr>
        <b/>
        <sz val="11"/>
        <color theme="1"/>
        <rFont val="Calibri"/>
        <family val="2"/>
        <scheme val="minor"/>
      </rPr>
      <t>recover Input Tax</t>
    </r>
    <r>
      <rPr>
        <sz val="11"/>
        <color theme="1"/>
        <rFont val="Calibri"/>
        <family val="2"/>
        <scheme val="minor"/>
      </rPr>
      <t xml:space="preserve"> if they </t>
    </r>
    <r>
      <rPr>
        <b/>
        <sz val="11"/>
        <color theme="1"/>
        <rFont val="Calibri"/>
        <family val="2"/>
        <scheme val="minor"/>
      </rPr>
      <t>intend to make the payment</t>
    </r>
    <r>
      <rPr>
        <sz val="11"/>
        <color theme="1"/>
        <rFont val="Calibri"/>
        <family val="2"/>
        <scheme val="minor"/>
      </rPr>
      <t xml:space="preserve"> within </t>
    </r>
    <r>
      <rPr>
        <b/>
        <sz val="11"/>
        <color theme="1"/>
        <rFont val="Calibri"/>
        <family val="2"/>
        <scheme val="minor"/>
      </rPr>
      <t>six months</t>
    </r>
    <r>
      <rPr>
        <sz val="11"/>
        <color theme="1"/>
        <rFont val="Calibri"/>
        <family val="2"/>
        <scheme val="minor"/>
      </rPr>
      <t xml:space="preserve"> after the agreed payment due date.</t>
    </r>
  </si>
  <si>
    <t>What happens if a Taxable Person deregisters or changes Tax Group membership?</t>
  </si>
  <si>
    <t>If a Taxable Person deregisters, their Tax Year ends on the last day they were registered.
If a member joins or leaves a Tax Group, the Tax Year ends on the last day before the change.</t>
  </si>
  <si>
    <t>How is Input Tax apportioned for recovery?</t>
  </si>
  <si>
    <t>Input Tax is recoverable if:
It wholly relates to taxable supplies under Article 54 &amp; 57 of the VAT Decree-Law.
It partially relates to taxable and non-taxable supplies, in which case only the taxable portion is recoverable based on a percentage calculation.</t>
  </si>
  <si>
    <t>How is the recoverable Input Tax calculated?</t>
  </si>
  <si>
    <t>The percentage of recoverable Input Tax is determined based on taxable supplies.
This percentage is rounded to the nearest whole number.
The rounded percentage is then multiplied by the total Input Tax to determine the recoverable amount.</t>
  </si>
  <si>
    <t>When is an adjustment required for Input Tax recovery?</t>
  </si>
  <si>
    <t>At the end of each Tax Year, the Taxable Person must:
 - Recalculate recoverable Input Tax for the full year.
 - Compare it with the Input Tax actually recovered.
 - If the difference exceeds AED 250,000, an adjustment must be made in the following Tax Period.</t>
  </si>
  <si>
    <t>Can a Taxable Person request an alternative Input Tax recovery method?</t>
  </si>
  <si>
    <t>Yes, a Taxable Person may apply to the Authority for an alternative apportionment method, provided it is based on approved mechanisms. The Authority may also request an application for an alternative method.</t>
  </si>
  <si>
    <t>When must a Taxable Person repay recovered Input Tax?</t>
  </si>
  <si>
    <t>A Taxable Person must repay Input Tax if:
It was originally attributed to taxable supplies under Article 54 but before consumption, it became non-attributable.</t>
  </si>
  <si>
    <t>When can a Taxable Person recover previously unrecovered Input Tax?</t>
  </si>
  <si>
    <t>A Taxable Person can recover Input Tax if:
It was originally not attributed to taxable supplies under Article 54, but before consumption, it became attributable.</t>
  </si>
  <si>
    <t>What are the conditions for adjusting Input Tax due to a change in use?</t>
  </si>
  <si>
    <t>djustments can only be made if:
The change in use occurs within five years from the Date of Supply.
The adjustment is not already covered under Articles 55 and 57 of the VAT Decision.</t>
  </si>
  <si>
    <t>What qualifies as a Capital Asset?</t>
  </si>
  <si>
    <t>A Capital Asset is a single item of expenditure of at least AED 5,000,000 (excluding VAT) that has a useful life of:
10 years for buildings or parts thereof.
5 years for all other Capital Assets.
Exceptions:
Items held for resale (stock/inventory) are not considered Capital Assets.
Multiple smaller payments adding up to AED 5,000,000 are treated as a single Capital Asset if they relate to:
Building purchases, construction, or refurbishment.
Assembly/installation of large equipment where components are supplied separately.</t>
  </si>
  <si>
    <t>How is Input Tax adjusted under the Capital Asset Scheme?</t>
  </si>
  <si>
    <t>Capital Assets must be monitored for 10 years (buildings) or 5 years (other assets).
Adjustments are required if the use of the asset changes, impacting VAT recovery.
If a Capital Asset is sold, destroyed, or disposed of before the end of the monitoring period, adjustments stop in that year.</t>
  </si>
  <si>
    <t>How is the Input Tax adjustment calculated?</t>
  </si>
  <si>
    <t>Year 1 (Acquisition Year):
Record Input Tax recovered (W) and the percentage recovered (X).
Year 2 onwards:
Recalculate percentage of Recoverable Tax (Q) each year.
If Q ≠ X, adjustments must be made:
R = (1/10 or 1/5 of W) × Q (New Recovery).
Z = (1/10 or 1/5 of W) × X (Original Recovery).
If R &gt; Z → Increase Input Tax by the difference.
If R &lt; Z → Decrease Input Tax by the difference.</t>
  </si>
  <si>
    <t>What happens if a Capital Asset is disposed of or the business deregisters?</t>
  </si>
  <si>
    <t>If sold or disposed of before the end of the period:
VAT adjustment is required in the year of disposal.
If deregistered or deemed supply applies:
The remaining years are deemed:
Taxable supplies → Full VAT recovery.
Exempt supplies → No VAT recovery.
Not in business → No VAT recovery (unless a deemed supply applies).</t>
  </si>
  <si>
    <t>How does VAT apply to business transfers or tax group changes?</t>
  </si>
  <si>
    <r>
      <t>If a business or asset is transferred</t>
    </r>
    <r>
      <rPr>
        <sz val="11"/>
        <color theme="1"/>
        <rFont val="Calibri"/>
        <family val="2"/>
        <scheme val="minor"/>
      </rPr>
      <t xml:space="preserve"> as part of a </t>
    </r>
    <r>
      <rPr>
        <b/>
        <sz val="11"/>
        <color theme="1"/>
        <rFont val="Calibri"/>
        <family val="2"/>
        <scheme val="minor"/>
      </rPr>
      <t>Tax Group change or sale</t>
    </r>
    <r>
      <rPr>
        <sz val="11"/>
        <color theme="1"/>
        <rFont val="Calibri"/>
        <family val="2"/>
        <scheme val="minor"/>
      </rPr>
      <t>:</t>
    </r>
  </si>
  <si>
    <r>
      <t xml:space="preserve">The </t>
    </r>
    <r>
      <rPr>
        <b/>
        <sz val="11"/>
        <color theme="1"/>
        <rFont val="Calibri"/>
        <family val="2"/>
        <scheme val="minor"/>
      </rPr>
      <t>Tax year ends</t>
    </r>
    <r>
      <rPr>
        <sz val="11"/>
        <color theme="1"/>
        <rFont val="Calibri"/>
        <family val="2"/>
        <scheme val="minor"/>
      </rPr>
      <t xml:space="preserve"> on the transfer date.</t>
    </r>
  </si>
  <si>
    <r>
      <t xml:space="preserve">A </t>
    </r>
    <r>
      <rPr>
        <b/>
        <sz val="11"/>
        <color theme="1"/>
        <rFont val="Calibri"/>
        <family val="2"/>
        <scheme val="minor"/>
      </rPr>
      <t>new Tax year starts</t>
    </r>
    <r>
      <rPr>
        <sz val="11"/>
        <color theme="1"/>
        <rFont val="Calibri"/>
        <family val="2"/>
        <scheme val="minor"/>
      </rPr>
      <t xml:space="preserve"> for the new owner.</t>
    </r>
  </si>
  <si>
    <t>If a person registers for VAT after already using a Capital Asset:</t>
  </si>
  <si>
    <r>
      <t>Year 1 starts from the first use</t>
    </r>
    <r>
      <rPr>
        <sz val="11"/>
        <color theme="1"/>
        <rFont val="Calibri"/>
        <family val="2"/>
        <scheme val="minor"/>
      </rPr>
      <t xml:space="preserve"> of the asset (not from VAT registration).</t>
    </r>
  </si>
  <si>
    <t>When should adjustments be reported?</t>
  </si>
  <si>
    <t>Disposal-related adjustments → In the Tax Return of the disposal period.
Other adjustments → In the first Tax Period of the next Tax year.</t>
  </si>
  <si>
    <t>Rounding of Fractions of Fils in VAT Calculations</t>
  </si>
  <si>
    <t>When calculating VAT on a supply, if the resulting tax amount includes a fraction of a Fils, businesses are allowed to round to the nearest Fils using standard mathematical rounding rules:
If the fraction is 0.5 Fils or more, round up to the next whole Fils.
If the fraction is less than 0.5 Fils, round down to the previous whole Fils.
Example 1: Rounding Up
VAT amount = AED 100.525
Since 0.525 fils rounds up to 0.53 fils, the final amount = AED 100.53
Example 2: Rounding Down
VAT amount = AED 250.374
Since 0.374 fils rounds down to 0.37 fils, the final amount = AED 250.37</t>
  </si>
  <si>
    <t>What is the standard Tax Period?</t>
  </si>
  <si>
    <r>
      <t xml:space="preserve">The standard Tax Period is </t>
    </r>
    <r>
      <rPr>
        <b/>
        <sz val="11"/>
        <color theme="1"/>
        <rFont val="Calibri"/>
        <family val="2"/>
        <scheme val="minor"/>
      </rPr>
      <t>three calendar months</t>
    </r>
    <r>
      <rPr>
        <sz val="11"/>
        <color theme="1"/>
        <rFont val="Calibri"/>
        <family val="2"/>
        <scheme val="minor"/>
      </rPr>
      <t xml:space="preserve">, ending on a date determined by the </t>
    </r>
    <r>
      <rPr>
        <b/>
        <sz val="11"/>
        <color theme="1"/>
        <rFont val="Calibri"/>
        <family val="2"/>
        <scheme val="minor"/>
      </rPr>
      <t>Tax Authority</t>
    </r>
    <r>
      <rPr>
        <sz val="11"/>
        <color theme="1"/>
        <rFont val="Calibri"/>
        <family val="2"/>
        <scheme val="minor"/>
      </rPr>
      <t>.</t>
    </r>
  </si>
  <si>
    <t>Can the Tax Period be shorter or longer than three months?</t>
  </si>
  <si>
    <t>Yes, the Tax Authority may assign a shorter or longer Tax Period if it helps:
Reduce tax evasion risks.
Improve compliance monitoring.
Ease the administrative burden on businesses or the Authority.</t>
  </si>
  <si>
    <t>Can I request a specific month for my Tax Period to end?</t>
  </si>
  <si>
    <t>Yes, if you are assigned the standard three-month Tax Period, you may request to end it in a specific month. However, approval is at the discretion of the Tax Authority.</t>
  </si>
  <si>
    <t>How can a Taxable Person claim a refund for excess Recoverable Tax?</t>
  </si>
  <si>
    <t>A Taxable Person can request a refund for excess Recoverable Tax by submitting a refund application through the method specified by the Tax Authority.</t>
  </si>
  <si>
    <t>When will the excess Recoverable Tax be refunded?</t>
  </si>
  <si>
    <t>The Tax Authority will process and repay the excess amount within the timelines and according to the procedures outlined in the Tax Procedures Law.</t>
  </si>
  <si>
    <t>Who is eligible to claim a VAT refund for building a new residence?</t>
  </si>
  <si>
    <t>A natural person who is a national of the State can claim a VAT refund if they own or acquire land in the UAE and construct a new residence for themselves or their family. The building must be used solely as a residence and cannot be used for commercial purposes like a hotel, guest house, or hospital.</t>
  </si>
  <si>
    <t>What expenses are eligible for a VAT refund when constructing a new residence?</t>
  </si>
  <si>
    <t>The VAT refund can be claimed on:
Services provided by contractors, including builders, architects, and engineers.
Building materials normally incorporated into a residential building or its site.
However, the refund does not apply to furniture or electrical appliances.</t>
  </si>
  <si>
    <t>When should the refund claim be submitted?</t>
  </si>
  <si>
    <t>he claim must be submitted within 12 months from the earlier of:
The date the residence becomes occupied.
The date it is certified as completed by a competent authority.
Any other date as stipulated by the Tax Authority.</t>
  </si>
  <si>
    <t>What happens if the residence is later used for non-residential purposes?</t>
  </si>
  <si>
    <t>If the residence is later used for purposes other than as a personal residence (e.g., a hotel or rental property), the Tax Authority may require the person to repay the refunded VAT amount.</t>
  </si>
  <si>
    <t>How long should records related to real estate transactions be kept?</t>
  </si>
  <si>
    <r>
      <t xml:space="preserve">Records related to real estate transactions must be retained for </t>
    </r>
    <r>
      <rPr>
        <b/>
        <sz val="11"/>
        <color theme="1"/>
        <rFont val="Calibri"/>
        <family val="2"/>
        <scheme val="minor"/>
      </rPr>
      <t>15 years</t>
    </r>
    <r>
      <rPr>
        <sz val="11"/>
        <color theme="1"/>
        <rFont val="Calibri"/>
        <family val="2"/>
        <scheme val="minor"/>
      </rPr>
      <t xml:space="preserve"> after the end of the Tax Period to which they relate.</t>
    </r>
  </si>
  <si>
    <t>What records must a Taxable Person maintain for VAT compliance?</t>
  </si>
  <si>
    <t>A Taxable Person must keep detailed records of:
All Goods and Services supplied, including information on suppliers and their agents.
Transactions proving the Emirate where the Fixed Establishment related to the supply is located.
For e-commerce businesses exceeding AED 100 million in taxable supplies, records must prove the Emirate where the supply is received.</t>
  </si>
  <si>
    <r>
      <t>a. All taxable person should register for CT before the deadline as determined by Federal Tax Authority.
Those</t>
    </r>
    <r>
      <rPr>
        <b/>
        <i/>
        <sz val="11"/>
        <color theme="1"/>
        <rFont val="Aptos"/>
        <family val="2"/>
      </rPr>
      <t xml:space="preserve"> juridical person</t>
    </r>
    <r>
      <rPr>
        <i/>
        <sz val="11"/>
        <color theme="1"/>
        <rFont val="Aptos"/>
        <family val="2"/>
      </rPr>
      <t xml:space="preserve"> having trade license after 1st of March 2024, need to register for corprorate tax in 3 months from the date of incorporation, establishment or recognition (by the same date of third month).
b. However, for</t>
    </r>
    <r>
      <rPr>
        <b/>
        <i/>
        <sz val="11"/>
        <color theme="1"/>
        <rFont val="Aptos"/>
        <family val="2"/>
      </rPr>
      <t xml:space="preserve"> Foriegn Juridical Person</t>
    </r>
    <r>
      <rPr>
        <i/>
        <sz val="11"/>
        <color theme="1"/>
        <rFont val="Aptos"/>
        <family val="2"/>
      </rPr>
      <t xml:space="preserve"> having Place of Effective Management (Board/Management ) in UAE, shall register in 3 months from end of FY when the POEM was established in UAE.
c. For Non-Resident Juridical Person having PE in UAE shall register within 6 months from date of establishment of PE in UAE.
d. If Non-Resident Juridical Person is having nexus in UAE (Immovable Property) shall register in 3 months from date of establishing the nexus in UAE.
e. For Resident Natural person having turnover of More than 1 Million AED in 2024, need to register by 31st of March 2025. (i.e. by 31st  March of Next Calendar Year)
f. For Non-Resident Natural Person having income from PE in UAE exceeding 1 million in on Calendar Year, shall apply for registration within in 3 months from date when they become suject to Corporate Tax (i.e. when the turnover exceeded 1 million) [for eg. if turnover exceeds 1 Mil in 10th of November, she/he shall register for CT  on or before 10th of February)</t>
    </r>
  </si>
  <si>
    <t>What is Place of Effective Management (POEM) in UAE CT law?</t>
  </si>
  <si>
    <t>PoEM refers to the place where key management and commercial decisions necessary for the conduct of an entity’s business as a whole are, in substance, made. It is a critical factor in determining tax residency under UAE Corporate Tax law.</t>
  </si>
  <si>
    <t>Will temporary presence of directors or key decision-makers in the UAE establish a PoEM in the UAE?</t>
  </si>
  <si>
    <t>No, a temporary stay due to exceptional circumstances does not necessarily establish PoEM in the UAE. According to OECD principles, for a location to be considered the PoEM, key management decisions must be made there on a continuous and habitual basis.</t>
  </si>
  <si>
    <t>How does the UAE determine the tax residency of a company under PoEM?</t>
  </si>
  <si>
    <t>The UAE considers factors such as:
- Location of board meetings and key decision-making activities.
- Where strategic business decisions are made and executed.
- The place where high-level management operates and controls the company’s activities.
- The habitual location where directors and senior executives carry out their responsibilities.</t>
  </si>
  <si>
    <t>Can a foreign company be deemed a UAE tax resident based on PoEM?</t>
  </si>
  <si>
    <t>Yes, if the effective management of the company occurs in the UAE on a continuous basis, it may be classified as a UAE tax resident, subjecting it to UAE Corporate Tax.</t>
  </si>
  <si>
    <t>How should businesses ensure compliance with UAE tax residency rules regarding PoEM?</t>
  </si>
  <si>
    <t>Businesses should:
Maintain documentation on board meetings and decision-making processes.
Ensure key management activities are consistently conducted in a specific jurisdiction.
Seek professional tax advice to mitigate risks of dual tax residency.</t>
  </si>
  <si>
    <t xml:space="preserve">
Individuals and Companies, LLC etc., 
&gt; 0% for taxable income up to and including AED 375,000 (this amount is to be confirmed in a Cabinet Decision)
&gt; 9% for taxable income exceeding AED 375,000
 Qualifying Free Zone Persons
&gt; 0% on qualifying income
&gt; 9% on taxable income that does not meet the qualifying income definition
</t>
  </si>
  <si>
    <t>Related Parties are individuals or entities that have a special relationship with one another, such as through ownership, control, or kinship. Here's a breakdown of what qualifies as a related party:
a. Kinship or Affiliation: Two or more natural persons (individuals) related through family connections, including by adoption or guardianship. This includes:
1. First-degree kinship: Parents, children, and parents/children of a spouse.
2. Second-degree kinship: Grandparents, grandchildren, siblings, and in-laws.
3. Third-degree kinship: Great-grandparents, great-grandchildren, uncles, aunts, nieces, nephews, and their spouses.
4. Fourth-degree kinship: Great-great-grandparents, great-great-grandchildren, grand-uncles, grand-aunts, grand-nephews, grand-nieces, and first cousins, including the same relatives on the spouse's side.
b. Natural Person and Juridical Person: A person or their related parties who:  Owns or controls 50% or more of a company (juridical person) or has the power to control it.
c. Juridical Persons: Companies or entities that: 
1. Own 50% or more of another company or have control over it, either directly or indirectly, or
2. Two or more companies can be related if they share a 50% or more ownership or control.
d.   Permanent Establishment or Foreign Permanent Establishment: A business’s local branch or foreign branch can be considered a related party.
e.  Unincorporated Partnerships: Partners in the same partnership are related parties.
f.  Trusts and Foundations: A person who is the trustee, founder, settlor, or beneficiary of a trust or foundation, and the related parties of the trust/foundation.</t>
  </si>
  <si>
    <t>What are allowable expenses under UAE Corporate Tax (CT)?</t>
  </si>
  <si>
    <t>Allowable expenses are those that are incurred wholly and exclusively for the business and are not restricted by the tax law. Examples include:
✅ Employee salaries and bonuses (at market rates)
✅ Rent, utilities, and office expenses
✅ Advertising and marketing costs
✅ Interest expenses (subject to limits)
✅ Bad debts written off (following IFRS)</t>
  </si>
  <si>
    <t>What expenses are NOT allowed for tax deduction?</t>
  </si>
  <si>
    <t>Some expenses are either partially or fully disallowed for tax purposes. Examples include:
❌ Fines and penalties (e.g., late payment fines)
❌ Personal expenses (e.g., a director’s personal vacation)
❌ Non-arm’s length payments to connected persons
❌ Entertainment expenses beyond allowable limits</t>
  </si>
  <si>
    <t>Are entertainment expenses allowed?</t>
  </si>
  <si>
    <t>Partially allowed – depends on the nature of the expense.
✅ Allowed:
Employee-related entertainment (e.g., staff parties, team outings)
Business refreshments during meetings
Promotional expenses by hospitality businesses (e.g., hotels offering free stays to influencers)
❌ Not allowed (50% disallowed):
Client entertainment (e.g., taking clients to a sports event)
Business partner dinners
Luxury gifts for clients</t>
  </si>
  <si>
    <t>Can interest expenses be deducted?</t>
  </si>
  <si>
    <t>✅ Yes, but with limitations:
Interest deduction is limited to 30% of adjusted EBITDA
If the loan is from a related party, it must not be taken for tax avoidance purposes
If the related party lender pays at least 9% tax on the interest income in their country, then it is fully deductible
📌 Example:
Company A borrows AED 1M from a related party and pays AED 100K interest. If the lender is in a 9% tax jurisdiction, AED 100K is deductible. If not, it may be disallowed.</t>
  </si>
  <si>
    <t>What is De-minimis Cireteria for claiming Interest Expenses Deduction?</t>
  </si>
  <si>
    <r>
      <t xml:space="preserve">Under the UAE Corporate Tax (CT) law, the General Interest Deduction Limitation Rule determines the amount of net interest expenditure that a taxable person can deduct in a tax period. A key component of this rule is the de minimis threshold, set at AED 12 million. 
</t>
    </r>
    <r>
      <rPr>
        <b/>
        <i/>
        <sz val="11"/>
        <color theme="1"/>
        <rFont val="Calibri"/>
        <family val="2"/>
        <scheme val="minor"/>
      </rPr>
      <t xml:space="preserve">
Application of the De Minimis Threshold:
</t>
    </r>
    <r>
      <rPr>
        <i/>
        <sz val="11"/>
        <color theme="1"/>
        <rFont val="Calibri"/>
        <family val="2"/>
        <scheme val="minor"/>
      </rPr>
      <t xml:space="preserve">Net Interest Expenditure (NIE) ≤ AED 12 million: If a taxable person's NIE for a tax period does not exceed AED 12 million, the General Interest Deduction Limitation Rule does not apply. Consequently, the full amount of interest expenditure incurred during that period is deductible. 
</t>
    </r>
    <r>
      <rPr>
        <b/>
        <i/>
        <sz val="11"/>
        <color theme="1"/>
        <rFont val="Calibri"/>
        <family val="2"/>
        <scheme val="minor"/>
      </rPr>
      <t xml:space="preserve">
NIE &gt; AED 12 million: When the NIE surpasses AED 12 million, the deductible interest is limited to the higher of:
</t>
    </r>
    <r>
      <rPr>
        <i/>
        <sz val="11"/>
        <color theme="1"/>
        <rFont val="Calibri"/>
        <family val="2"/>
        <scheme val="minor"/>
      </rPr>
      <t>a. 30% of adjusted EBITDA (Earnings Before Interest, Taxes, Depreciation, and Amortization). or 
b. Amount --&gt; AED 12 million.</t>
    </r>
  </si>
  <si>
    <t>Can the disallowed interest as per de-minimis crieteria be carried forward?</t>
  </si>
  <si>
    <t xml:space="preserve">Any net interest expenditure disallowed in a tax period due to the General Interest Deduction Limitation Rule can be carried forward and deducted in the subsequent 10 tax periods, subject to the same conditions. 
Note: The AED 12 million de minimis threshold is adjusted proportionally if the tax period is longer or shorter than 12 months. </t>
  </si>
  <si>
    <t>Can I deduct salaries paid to business owners or directors?</t>
  </si>
  <si>
    <t>✅ Yes, if at market rates – salaries/bonuses paid to owners or directors are deductible, but they must be reasonable and at arm’s length.
❌ Not allowed – Excessive or inflated salaries beyond market norms.
📌 Example:
CEO salary of AED 50K per month (market rate) – ✅ Allowed
CEO salary of AED 500K per month with no justification – ❌ Disallowed</t>
  </si>
  <si>
    <t>Are expenses for family events of employees deductible?</t>
  </si>
  <si>
    <t>❌ No. Personal events (e.g., weddings, birthday parties) for employees or their families are not deductible even if they are also employees.
✅ Example:
A company reimbursing an employee’s wedding expenses – ❌ Not allowed
A staff retreat as part of a company event – ✅ Allowed</t>
  </si>
  <si>
    <t>Can pre-incorporation expenses be deducted?</t>
  </si>
  <si>
    <t>✅ Yes. Expenses like legal fees, registration costs, and advisory fees incurred before the company’s formation can be deducted in the first year if they are directly related to business incorporation.</t>
  </si>
  <si>
    <t>Can depreciation or amortization be deducted?</t>
  </si>
  <si>
    <t>✅ Yes, but only if the asset itself is an allowable expense.
❌ No deduction if the asset includes non-deductible costs (e.g., fines).
📌 Example:
A company buys a machine for AED 100K and depreciates it over 5 years – ✅ Allowed
A company includes a traffic fine in the cost of the machine – ❌ Fine-related portion not allowed</t>
  </si>
  <si>
    <t>Are payments to connected persons allowed?</t>
  </si>
  <si>
    <t>✅ Yes, if at arm’s length. Payments to connected persons (e.g., group companies, shareholders) are deductible only if they are made on a commercial basis.
📌 Example:
A UAE parent company pays a reasonable management fee to a foreign subsidiary – ✅ Allowed
A company overcharges expenses to shift profits and avoid tax – ❌ Not allowed</t>
  </si>
  <si>
    <t>Can I deduct local UAE taxes like municipality fees?</t>
  </si>
  <si>
    <t>✅ Yes, local taxes (except corporate tax) are deductible.
❌ No, Emirate-level corporate taxes and Zakat (except to approved entities) are not deductible.
📌 Example:
Dubai Municipality fee – ✅ Allowed
UAE Corporate Tax paid – ❌ Not allowed</t>
  </si>
  <si>
    <t>Is a Flight Ticket Booked for an Employee and Reimbursed by the Company an Allowable Expense for VAT and Corporate Tax?</t>
  </si>
  <si>
    <t>VAT Recovery:
✅ Allowed if the flight is for business purposes (e.g., meetings, training, client visits).
❌ Not allowed if the flight is for personal reasons, such as annual leave or home visits.
Corporate Tax Deductibility:
✅ Deductible if the flight is wholly and exclusively for business purposes.
❌ Not deductible if the flight is for personal reasons (e.g., home leave or vacations).</t>
  </si>
  <si>
    <t>Can business owners deduct their personal medical expenses?</t>
  </si>
  <si>
    <t>No. If a business owner or shareholder incurs expenses for personal medical treatment, these costs are not considered business expenses and are not deductible under UAE Corporate Tax laws.</t>
  </si>
  <si>
    <t>How should businesses handle expenses that are partly for business and partly for personal use?</t>
  </si>
  <si>
    <t>Businesses must determine a fair and reasonable method for apportioning expenses. The portion related to business is deductible, while the personal portion must be disallowed and added back to the Taxable Income.</t>
  </si>
  <si>
    <t>How does apportionment work in expense deductions?</t>
  </si>
  <si>
    <t>A fair and reasonable approach must be used to allocate business and personal expenses. For example, if a company vehicle is used 60% for business and 40% for personal use, only 60% of vehicle expenses can be deducted. The remaining 40% must be added back to taxable income.</t>
  </si>
  <si>
    <t>What if an invoice is not in the company's name?</t>
  </si>
  <si>
    <t xml:space="preserve">Expenses must be supported by proper invoices in the company’s name. If an invoice is in an employee’s or another individual’s name, it may not be considered a valid business expense for tax purposes.
</t>
  </si>
  <si>
    <t>What happens if an expense is incorrectly deducted?</t>
  </si>
  <si>
    <r>
      <t xml:space="preserve">If a non-business expense is deducted, the </t>
    </r>
    <r>
      <rPr>
        <b/>
        <sz val="11"/>
        <color theme="1"/>
        <rFont val="Calibri"/>
        <family val="2"/>
        <scheme val="minor"/>
      </rPr>
      <t>Federal Tax Authority (FTA)</t>
    </r>
    <r>
      <rPr>
        <sz val="11"/>
        <color theme="1"/>
        <rFont val="Calibri"/>
        <family val="2"/>
        <scheme val="minor"/>
      </rPr>
      <t xml:space="preserve"> may disallow it and impose penalties. Businesses must ensure that all deductions comply with UAE Corporate Tax laws.</t>
    </r>
  </si>
  <si>
    <t>Is capital expenditure deductible for UAE Corporate Tax purposes?</t>
  </si>
  <si>
    <r>
      <t xml:space="preserve">No, capital expenditure is </t>
    </r>
    <r>
      <rPr>
        <b/>
        <sz val="11"/>
        <color theme="1"/>
        <rFont val="Calibri"/>
        <family val="2"/>
        <scheme val="minor"/>
      </rPr>
      <t>not directly deductible</t>
    </r>
    <r>
      <rPr>
        <sz val="11"/>
        <color theme="1"/>
        <rFont val="Calibri"/>
        <family val="2"/>
        <scheme val="minor"/>
      </rPr>
      <t xml:space="preserve"> for corporate tax purposes because it provides a long-term benefit to the business. However, businesses can claim deductions through </t>
    </r>
    <r>
      <rPr>
        <b/>
        <sz val="11"/>
        <color theme="1"/>
        <rFont val="Calibri"/>
        <family val="2"/>
        <scheme val="minor"/>
      </rPr>
      <t>depreciation</t>
    </r>
    <r>
      <rPr>
        <sz val="11"/>
        <color theme="1"/>
        <rFont val="Calibri"/>
        <family val="2"/>
        <scheme val="minor"/>
      </rPr>
      <t xml:space="preserve"> over the asset’s useful life.</t>
    </r>
  </si>
  <si>
    <t>How can businesses differentiate between capital and revenue expenditure?</t>
  </si>
  <si>
    <t>--&gt; Capital expenditure refers to purchases that provide an enduring benefit to the business, such as machinery, vehicles, or office buildings. These costs are not immediately deductible but are depreciated over time.
--&gt; Revenue expenditure covers day-to-day operational costs, such as repairs, maintenance, and employee salaries, which are fully deductible in the year they are incurred.</t>
  </si>
  <si>
    <t>Can a business deduct the cost of an asset used for resale?</t>
  </si>
  <si>
    <r>
      <t xml:space="preserve">Yes, if an asset is purchased </t>
    </r>
    <r>
      <rPr>
        <b/>
        <sz val="11"/>
        <color theme="1"/>
        <rFont val="Calibri"/>
        <family val="2"/>
        <scheme val="minor"/>
      </rPr>
      <t>for resale</t>
    </r>
    <r>
      <rPr>
        <sz val="11"/>
        <color theme="1"/>
        <rFont val="Calibri"/>
        <family val="2"/>
        <scheme val="minor"/>
      </rPr>
      <t xml:space="preserve"> (such as inventory in a trading business), it is considered </t>
    </r>
    <r>
      <rPr>
        <b/>
        <sz val="11"/>
        <color theme="1"/>
        <rFont val="Calibri"/>
        <family val="2"/>
        <scheme val="minor"/>
      </rPr>
      <t>revenue expenditure</t>
    </r>
    <r>
      <rPr>
        <sz val="11"/>
        <color theme="1"/>
        <rFont val="Calibri"/>
        <family val="2"/>
        <scheme val="minor"/>
      </rPr>
      <t xml:space="preserve"> and is deductible. However, if the asset is for </t>
    </r>
    <r>
      <rPr>
        <b/>
        <sz val="11"/>
        <color theme="1"/>
        <rFont val="Calibri"/>
        <family val="2"/>
        <scheme val="minor"/>
      </rPr>
      <t>long-term business use</t>
    </r>
    <r>
      <rPr>
        <sz val="11"/>
        <color theme="1"/>
        <rFont val="Calibri"/>
        <family val="2"/>
        <scheme val="minor"/>
      </rPr>
      <t xml:space="preserve">, it is a </t>
    </r>
    <r>
      <rPr>
        <b/>
        <sz val="11"/>
        <color theme="1"/>
        <rFont val="Calibri"/>
        <family val="2"/>
        <scheme val="minor"/>
      </rPr>
      <t>capital expense</t>
    </r>
    <r>
      <rPr>
        <sz val="11"/>
        <color theme="1"/>
        <rFont val="Calibri"/>
        <family val="2"/>
        <scheme val="minor"/>
      </rPr>
      <t xml:space="preserve"> and is not immediately deductible. Instead, its depreciation can be deducted over time.</t>
    </r>
  </si>
  <si>
    <t>What types of expenses are specifically non-deductible under UAE Corporate Tax Law?</t>
  </si>
  <si>
    <t>Certain expenses are explicitly not deductible, including:
&gt; Expenses not incurred for business purposes (e.g., personal expenses).
&gt; Costs related to earning exempt income (e.g., expenses tied to tax-exempt investments).
&gt; Losses unrelated to the business.
&gt; Donations to organizations that are not Qualifying Public Benefit Entities.
&gt; Fines and penalties (except compensation for damages or contract breaches).
&gt; Bribes, dividends, and profit distributions to owners.
&gt; Corporate Tax and recoverable input VAT.
&gt; Foreign taxes (though relief may be available through Foreign Tax Credit).
&gt; Employer contributions to private pension funds beyond 15% of an employee's remuneration.</t>
  </si>
  <si>
    <t>Are expenses related to earning exempt income deductible?</t>
  </si>
  <si>
    <t>No, if an expense is incurred to earn exempt income, it is not deductible. For example, if a business has income that is tax-exempt, any expenses directly tied to generating that income cannot be deducted.</t>
  </si>
  <si>
    <t>Can a business deduct penalties, fines, or bribes from taxable income?</t>
  </si>
  <si>
    <r>
      <t xml:space="preserve">No, any </t>
    </r>
    <r>
      <rPr>
        <b/>
        <sz val="11"/>
        <color theme="1"/>
        <rFont val="Calibri"/>
        <family val="2"/>
        <scheme val="minor"/>
      </rPr>
      <t>fines, penalties, or bribes</t>
    </r>
    <r>
      <rPr>
        <sz val="11"/>
        <color theme="1"/>
        <rFont val="Calibri"/>
        <family val="2"/>
        <scheme val="minor"/>
      </rPr>
      <t xml:space="preserve"> are </t>
    </r>
    <r>
      <rPr>
        <b/>
        <sz val="11"/>
        <color theme="1"/>
        <rFont val="Calibri"/>
        <family val="2"/>
        <scheme val="minor"/>
      </rPr>
      <t>not deductible</t>
    </r>
    <r>
      <rPr>
        <sz val="11"/>
        <color theme="1"/>
        <rFont val="Calibri"/>
        <family val="2"/>
        <scheme val="minor"/>
      </rPr>
      <t xml:space="preserve">. The law explicitly prohibits businesses from claiming these costs as expenses, except for </t>
    </r>
    <r>
      <rPr>
        <b/>
        <sz val="11"/>
        <color theme="1"/>
        <rFont val="Calibri"/>
        <family val="2"/>
        <scheme val="minor"/>
      </rPr>
      <t>compensation awarded for damages or breach of contract</t>
    </r>
    <r>
      <rPr>
        <sz val="11"/>
        <color theme="1"/>
        <rFont val="Calibri"/>
        <family val="2"/>
        <scheme val="minor"/>
      </rPr>
      <t>.</t>
    </r>
  </si>
  <si>
    <t>What are Related Party transactions, and why do they matter for Corporate Tax?</t>
  </si>
  <si>
    <r>
      <t xml:space="preserve">Related Party transactions occur when </t>
    </r>
    <r>
      <rPr>
        <b/>
        <sz val="11"/>
        <color theme="1"/>
        <rFont val="Calibri"/>
        <family val="2"/>
        <scheme val="minor"/>
      </rPr>
      <t>closely linked entities or individuals</t>
    </r>
    <r>
      <rPr>
        <sz val="11"/>
        <color theme="1"/>
        <rFont val="Calibri"/>
        <family val="2"/>
        <scheme val="minor"/>
      </rPr>
      <t xml:space="preserve"> conduct business with each other. These transactions must follow the </t>
    </r>
    <r>
      <rPr>
        <b/>
        <sz val="11"/>
        <color theme="1"/>
        <rFont val="Calibri"/>
        <family val="2"/>
        <scheme val="minor"/>
      </rPr>
      <t>arm’s length principle</t>
    </r>
    <r>
      <rPr>
        <sz val="11"/>
        <color theme="1"/>
        <rFont val="Calibri"/>
        <family val="2"/>
        <scheme val="minor"/>
      </rPr>
      <t xml:space="preserve">, meaning they should be priced as if they were between </t>
    </r>
    <r>
      <rPr>
        <b/>
        <sz val="11"/>
        <color theme="1"/>
        <rFont val="Calibri"/>
        <family val="2"/>
        <scheme val="minor"/>
      </rPr>
      <t>independent, unrelated parties</t>
    </r>
    <r>
      <rPr>
        <sz val="11"/>
        <color theme="1"/>
        <rFont val="Calibri"/>
        <family val="2"/>
        <scheme val="minor"/>
      </rPr>
      <t xml:space="preserve">. This prevents companies from manipulating transactions to reduce their </t>
    </r>
    <r>
      <rPr>
        <b/>
        <sz val="11"/>
        <color theme="1"/>
        <rFont val="Calibri"/>
        <family val="2"/>
        <scheme val="minor"/>
      </rPr>
      <t>Corporate Tax liability</t>
    </r>
    <r>
      <rPr>
        <sz val="11"/>
        <color theme="1"/>
        <rFont val="Calibri"/>
        <family val="2"/>
        <scheme val="minor"/>
      </rPr>
      <t>.</t>
    </r>
  </si>
  <si>
    <t>How does the UAE tax authority (FTA) ensure fair pricing in Related Party transactions?</t>
  </si>
  <si>
    <r>
      <t xml:space="preserve">If the FTA finds that a Related Party transaction </t>
    </r>
    <r>
      <rPr>
        <b/>
        <sz val="11"/>
        <color theme="1"/>
        <rFont val="Calibri"/>
        <family val="2"/>
        <scheme val="minor"/>
      </rPr>
      <t>does not follow</t>
    </r>
    <r>
      <rPr>
        <sz val="11"/>
        <color theme="1"/>
        <rFont val="Calibri"/>
        <family val="2"/>
        <scheme val="minor"/>
      </rPr>
      <t xml:space="preserve"> the arm’s length principle, it can </t>
    </r>
    <r>
      <rPr>
        <b/>
        <sz val="11"/>
        <color theme="1"/>
        <rFont val="Calibri"/>
        <family val="2"/>
        <scheme val="minor"/>
      </rPr>
      <t>adjust the taxable income</t>
    </r>
    <r>
      <rPr>
        <sz val="11"/>
        <color theme="1"/>
        <rFont val="Calibri"/>
        <family val="2"/>
        <scheme val="minor"/>
      </rPr>
      <t xml:space="preserve"> of the company to reflect the </t>
    </r>
    <r>
      <rPr>
        <b/>
        <sz val="11"/>
        <color theme="1"/>
        <rFont val="Calibri"/>
        <family val="2"/>
        <scheme val="minor"/>
      </rPr>
      <t>fair market value</t>
    </r>
    <r>
      <rPr>
        <sz val="11"/>
        <color theme="1"/>
        <rFont val="Calibri"/>
        <family val="2"/>
        <scheme val="minor"/>
      </rPr>
      <t xml:space="preserve"> of the transaction. This ensures that taxable income is not </t>
    </r>
    <r>
      <rPr>
        <b/>
        <sz val="11"/>
        <color theme="1"/>
        <rFont val="Calibri"/>
        <family val="2"/>
        <scheme val="minor"/>
      </rPr>
      <t>artificially reduced</t>
    </r>
    <r>
      <rPr>
        <sz val="11"/>
        <color theme="1"/>
        <rFont val="Calibri"/>
        <family val="2"/>
        <scheme val="minor"/>
      </rPr>
      <t xml:space="preserve"> to gain a tax advantage.</t>
    </r>
  </si>
  <si>
    <t>What happens if a foreign tax authority adjusts a Related Party transaction?</t>
  </si>
  <si>
    <r>
      <t xml:space="preserve">If a </t>
    </r>
    <r>
      <rPr>
        <b/>
        <sz val="11"/>
        <color theme="1"/>
        <rFont val="Calibri"/>
        <family val="2"/>
        <scheme val="minor"/>
      </rPr>
      <t>foreign tax authority</t>
    </r>
    <r>
      <rPr>
        <sz val="11"/>
        <color theme="1"/>
        <rFont val="Calibri"/>
        <family val="2"/>
        <scheme val="minor"/>
      </rPr>
      <t xml:space="preserve"> makes an adjustment to a Related Party transaction, the UAE Taxable Person can request the </t>
    </r>
    <r>
      <rPr>
        <b/>
        <sz val="11"/>
        <color theme="1"/>
        <rFont val="Calibri"/>
        <family val="2"/>
        <scheme val="minor"/>
      </rPr>
      <t>FTA to make a corresponding adjustment</t>
    </r>
    <r>
      <rPr>
        <sz val="11"/>
        <color theme="1"/>
        <rFont val="Calibri"/>
        <family val="2"/>
        <scheme val="minor"/>
      </rPr>
      <t xml:space="preserve"> to prevent </t>
    </r>
    <r>
      <rPr>
        <b/>
        <sz val="11"/>
        <color theme="1"/>
        <rFont val="Calibri"/>
        <family val="2"/>
        <scheme val="minor"/>
      </rPr>
      <t>double taxation</t>
    </r>
    <r>
      <rPr>
        <sz val="11"/>
        <color theme="1"/>
        <rFont val="Calibri"/>
        <family val="2"/>
        <scheme val="minor"/>
      </rPr>
      <t>. This ensures that profits are properly allocated between jurisdictions.</t>
    </r>
  </si>
  <si>
    <t>Who Are Considered Related Parties?</t>
  </si>
  <si>
    <t xml:space="preserve">According to Article 34(1) of the UAE Corporate Tax Law, Related Parties include:
Individuals and Their Businesses – An individual and a business they own or control.
Entities Under Common Control – Two or more businesses controlled by the same person or entity.
Family Relationships – Individuals related up to the fourth degree (spouse, children, parents, siblings, grandparents, cousins, uncles, aunts, etc.).
Corporate Groups – A parent company and its subsidiaries.
Ownership Threshold – A person or entity holding 50% or more of another business is considered a Related Party.According to Article 34(1) of the UAE </t>
  </si>
  <si>
    <t>How does kinship define Related Parties for tax purposes?</t>
  </si>
  <si>
    <t>Kinship up to the fourth degree of relation includes:
First-degree: Parents, children, spouse’s parents and children.
Second-degree: Grandparents, siblings, grandchildren, spouse’s grandparents, siblings, and grandchildren.
Third-degree: Great-grandparents, uncles, aunts, nieces, nephews, spouse’s great-grandparents, uncles, aunts, nieces, nephews.
Fourth-degree: Great-great-grandparents, grand uncles/aunts, grandnieces/nephews, first cousins (including spouse’s relatives of the same degree).</t>
  </si>
  <si>
    <t xml:space="preserve"> What are the tax implications of transactions between Related Parties?</t>
  </si>
  <si>
    <t>Transactions between Related Parties must follow the arm’s length principle, meaning:
The transaction should be priced as if it were between independent parties.
If the FTA finds that the price is artificially low or high, it can adjust the taxable income.
Related Party transactions must be properly documented to avoid tax disputes.</t>
  </si>
  <si>
    <t>Can a businWhat constitutes “Control” for determining Related Parties under UAE Corporate Tax Law?ess deduct penalties, fines, or bribes from taxable income?</t>
  </si>
  <si>
    <t>Control refers to the ability of a person (individual or entity) to influence or direct another person’s financial and business decisions. A person is considered to have control if they:
a. Hold 50% or more of voting rights in another entity.
b. Can appoint 50% or more of the board of directors.
c. Are entitled to 50% or more of the profits of the entity.
d. Have the ability to significantly influence business operations through agreements or other arrangements.</t>
  </si>
  <si>
    <t>Why is Control important for Corporate Tax purposes?</t>
  </si>
  <si>
    <t xml:space="preserve">Control is crucial in identifying Related Parties because transactions between them must follow the arm’s length principle to prevent tax avoidance. If an entity or individual controls another entity, transactions between them could be subject to transfer pricing rules to ensure fair taxation.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</si>
</sst>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AED&quot;#,##0;[Red]\-&quot;AED&quot;#,##0"/>
    <numFmt numFmtId="165" formatCode="_-* #,##0.00_-;\-* #,##0.00_-;_-* &quot;-&quot;??_-;_-@_-"/>
  </numFmts>
  <fonts count="37" x14ac:knownFonts="1">
    <font>
      <sz val="11"/>
      <color theme="1"/>
      <name val="Calibri"/>
      <family val="2"/>
      <scheme val="minor"/>
    </font>
    <font>
      <sz val="12"/>
      <color theme="1"/>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
      <b/>
      <sz val="11"/>
      <color theme="1"/>
      <name val="Aptos"/>
      <family val="2"/>
    </font>
    <font>
      <sz val="11"/>
      <color theme="1"/>
      <name val="Aptos"/>
      <family val="2"/>
    </font>
    <font>
      <i/>
      <sz val="11"/>
      <color theme="1"/>
      <name val="Aptos"/>
      <family val="2"/>
    </font>
    <font>
      <i/>
      <sz val="11"/>
      <color rgb="FF161616"/>
      <name val="Aptos"/>
      <family val="2"/>
    </font>
    <font>
      <sz val="11"/>
      <color rgb="FF161616"/>
      <name val="Aptos"/>
      <family val="2"/>
    </font>
    <font>
      <b/>
      <sz val="13.5"/>
      <color theme="1"/>
      <name val="Calibri"/>
      <family val="2"/>
      <scheme val="minor"/>
    </font>
    <font>
      <b/>
      <i/>
      <sz val="11"/>
      <color rgb="FFC00000"/>
      <name val="Calibri"/>
      <family val="2"/>
      <scheme val="minor"/>
    </font>
    <font>
      <i/>
      <sz val="11"/>
      <color rgb="FFC00000"/>
      <name val="Calibri"/>
      <family val="2"/>
      <scheme val="minor"/>
    </font>
    <font>
      <sz val="11"/>
      <color theme="1"/>
      <name val="Calibri"/>
      <family val="2"/>
      <scheme val="minor"/>
    </font>
    <font>
      <b/>
      <sz val="11"/>
      <color theme="0"/>
      <name val="Calibri"/>
      <family val="2"/>
      <scheme val="minor"/>
    </font>
    <font>
      <u/>
      <sz val="11"/>
      <color theme="10"/>
      <name val="Calibri"/>
      <family val="2"/>
      <scheme val="minor"/>
    </font>
    <font>
      <b/>
      <i/>
      <sz val="11"/>
      <color theme="1"/>
      <name val="Aptos"/>
      <family val="2"/>
    </font>
    <font>
      <i/>
      <sz val="11"/>
      <color theme="1"/>
      <name val="Aptos"/>
      <family val="2"/>
    </font>
    <font>
      <b/>
      <sz val="11"/>
      <color theme="1"/>
      <name val="Aptos"/>
      <family val="2"/>
    </font>
    <font>
      <sz val="11"/>
      <color rgb="FF404040"/>
      <name val="Roboto"/>
    </font>
    <font>
      <b/>
      <sz val="11"/>
      <color rgb="FF465454"/>
      <name val="Arial"/>
      <family val="2"/>
    </font>
    <font>
      <sz val="11"/>
      <color rgb="FF465454"/>
      <name val="Arial"/>
      <family val="2"/>
    </font>
    <font>
      <sz val="11"/>
      <color rgb="FF242424"/>
      <name val="Calibri"/>
      <family val="2"/>
      <scheme val="minor"/>
    </font>
    <font>
      <b/>
      <sz val="11"/>
      <color rgb="FF242424"/>
      <name val="Calibri"/>
      <family val="2"/>
      <scheme val="minor"/>
    </font>
    <font>
      <b/>
      <i/>
      <sz val="11"/>
      <color rgb="FF242424"/>
      <name val="Calibri"/>
      <family val="2"/>
      <scheme val="minor"/>
    </font>
    <font>
      <b/>
      <sz val="12"/>
      <color theme="1"/>
      <name val="Calibri"/>
      <family val="2"/>
      <scheme val="minor"/>
    </font>
    <font>
      <sz val="12"/>
      <color theme="1"/>
      <name val="Calibri"/>
      <family val="2"/>
      <scheme val="minor"/>
    </font>
    <font>
      <i/>
      <sz val="11"/>
      <color rgb="FF0070C0"/>
      <name val="Calibri"/>
      <family val="2"/>
      <scheme val="minor"/>
    </font>
    <font>
      <b/>
      <i/>
      <sz val="11"/>
      <color rgb="FF0070C0"/>
      <name val="Calibri"/>
      <family val="2"/>
      <scheme val="minor"/>
    </font>
    <font>
      <b/>
      <sz val="13"/>
      <color theme="1"/>
      <name val="Playfair Display"/>
    </font>
    <font>
      <sz val="11"/>
      <color theme="1"/>
      <name val="Palanquin"/>
    </font>
    <font>
      <b/>
      <sz val="14"/>
      <color theme="1"/>
      <name val="Playfair Display"/>
    </font>
    <font>
      <sz val="21"/>
      <color rgb="FF000000"/>
      <name val="Open Sans"/>
    </font>
    <font>
      <sz val="12"/>
      <color theme="1"/>
      <name val="Aptos"/>
      <family val="2"/>
    </font>
    <font>
      <b/>
      <sz val="12"/>
      <color theme="1"/>
      <name val="Aptos"/>
      <family val="2"/>
    </font>
    <font>
      <sz val="12"/>
      <color rgb="FF333333"/>
      <name val="Aptos"/>
      <family val="2"/>
    </font>
    <font>
      <b/>
      <sz val="12"/>
      <color rgb="FF333333"/>
      <name val="Aptos"/>
      <family val="2"/>
    </font>
  </fonts>
  <fills count="7">
    <fill>
      <patternFill patternType="none"/>
    </fill>
    <fill>
      <patternFill patternType="gray125"/>
    </fill>
    <fill>
      <patternFill patternType="solid">
        <fgColor theme="2"/>
        <bgColor indexed="64"/>
      </patternFill>
    </fill>
    <fill>
      <patternFill patternType="solid">
        <fgColor theme="0" tint="-4.9989318521683403E-2"/>
        <bgColor indexed="64"/>
      </patternFill>
    </fill>
    <fill>
      <patternFill patternType="solid">
        <fgColor theme="9"/>
        <bgColor indexed="64"/>
      </patternFill>
    </fill>
    <fill>
      <patternFill patternType="solid">
        <fgColor theme="0" tint="-0.14999847407452621"/>
        <bgColor indexed="64"/>
      </patternFill>
    </fill>
    <fill>
      <patternFill patternType="solid">
        <fgColor rgb="FFFFFFFF"/>
        <bgColor indexed="64"/>
      </patternFill>
    </fill>
  </fills>
  <borders count="19">
    <border>
      <left/>
      <right/>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indexed="64"/>
      </top>
      <bottom style="thin">
        <color indexed="64"/>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
      <left style="medium">
        <color rgb="FF000000"/>
      </left>
      <right style="medium">
        <color rgb="FF000000"/>
      </right>
      <top/>
      <bottom/>
      <diagonal/>
    </border>
    <border>
      <left/>
      <right style="medium">
        <color rgb="FF000000"/>
      </right>
      <top/>
      <bottom/>
      <diagonal/>
    </border>
  </borders>
  <cellStyleXfs count="3">
    <xf numFmtId="0" fontId="0" fillId="0" borderId="0"/>
    <xf numFmtId="165" fontId="13" fillId="0" borderId="0" applyFont="0" applyFill="0" applyBorder="0" applyAlignment="0" applyProtection="0"/>
    <xf numFmtId="0" fontId="15" fillId="0" borderId="0" applyNumberFormat="0" applyFill="0" applyBorder="0" applyAlignment="0" applyProtection="0"/>
  </cellStyleXfs>
  <cellXfs count="112">
    <xf numFmtId="0" fontId="0" fillId="0" borderId="0" xfId="0"/>
    <xf numFmtId="0" fontId="0" fillId="0" borderId="0" xfId="0" applyAlignment="1">
      <alignment wrapText="1"/>
    </xf>
    <xf numFmtId="0" fontId="2" fillId="0" borderId="0" xfId="0" applyFont="1"/>
    <xf numFmtId="0" fontId="3" fillId="0" borderId="0" xfId="0" applyFont="1" applyAlignment="1">
      <alignment wrapText="1"/>
    </xf>
    <xf numFmtId="0" fontId="5" fillId="0" borderId="0" xfId="0" applyFont="1" applyAlignment="1">
      <alignment wrapText="1"/>
    </xf>
    <xf numFmtId="0" fontId="7" fillId="0" borderId="0" xfId="0" applyFont="1" applyAlignment="1">
      <alignment wrapText="1"/>
    </xf>
    <xf numFmtId="0" fontId="6" fillId="2" borderId="0" xfId="0" applyFont="1" applyFill="1" applyAlignment="1">
      <alignment wrapText="1"/>
    </xf>
    <xf numFmtId="0" fontId="6" fillId="0" borderId="0" xfId="0" applyFont="1" applyAlignment="1">
      <alignment wrapText="1"/>
    </xf>
    <xf numFmtId="0" fontId="5" fillId="2" borderId="0" xfId="0" applyFont="1" applyFill="1" applyAlignment="1">
      <alignment horizontal="left" vertical="center" wrapText="1"/>
    </xf>
    <xf numFmtId="0" fontId="6" fillId="2" borderId="0" xfId="0" applyFont="1" applyFill="1" applyAlignment="1">
      <alignment horizontal="left" vertical="center" wrapText="1"/>
    </xf>
    <xf numFmtId="0" fontId="8" fillId="0" borderId="0" xfId="0" applyFont="1" applyAlignment="1">
      <alignment wrapText="1"/>
    </xf>
    <xf numFmtId="0" fontId="9" fillId="2" borderId="0" xfId="0" applyFont="1" applyFill="1" applyAlignment="1">
      <alignment wrapText="1"/>
    </xf>
    <xf numFmtId="0" fontId="2" fillId="0" borderId="0" xfId="0" applyFont="1" applyAlignment="1">
      <alignment horizontal="center" vertical="center" wrapText="1"/>
    </xf>
    <xf numFmtId="0" fontId="0" fillId="0" borderId="0" xfId="0" applyAlignment="1">
      <alignment vertical="center" wrapText="1"/>
    </xf>
    <xf numFmtId="0" fontId="10" fillId="0" borderId="0" xfId="0" applyFont="1" applyAlignment="1">
      <alignment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0" fillId="0" borderId="5" xfId="0" applyBorder="1" applyAlignment="1">
      <alignment vertical="center" wrapText="1"/>
    </xf>
    <xf numFmtId="0" fontId="0" fillId="0" borderId="7" xfId="0" applyBorder="1" applyAlignment="1">
      <alignment vertical="center" wrapText="1"/>
    </xf>
    <xf numFmtId="0" fontId="0" fillId="0" borderId="1" xfId="0" applyBorder="1" applyAlignment="1">
      <alignment horizontal="right" vertical="center" wrapText="1"/>
    </xf>
    <xf numFmtId="164" fontId="0" fillId="0" borderId="1" xfId="0" applyNumberForma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9" xfId="0" applyBorder="1" applyAlignment="1">
      <alignment horizontal="right" vertical="center" wrapText="1"/>
    </xf>
    <xf numFmtId="0" fontId="2" fillId="0" borderId="0" xfId="0" applyFont="1" applyAlignment="1">
      <alignment vertical="center" wrapText="1"/>
    </xf>
    <xf numFmtId="0" fontId="2" fillId="0" borderId="0" xfId="0" applyFont="1" applyAlignment="1">
      <alignment horizontal="right" vertical="center" wrapText="1"/>
    </xf>
    <xf numFmtId="0" fontId="0" fillId="0" borderId="0" xfId="0" applyAlignment="1">
      <alignment horizontal="right" vertical="center" wrapText="1"/>
    </xf>
    <xf numFmtId="164" fontId="0" fillId="0" borderId="0" xfId="0" applyNumberFormat="1" applyAlignment="1">
      <alignment horizontal="right" vertical="center" wrapText="1"/>
    </xf>
    <xf numFmtId="0" fontId="11" fillId="0" borderId="0" xfId="0" applyFont="1" applyAlignment="1">
      <alignment vertical="center" wrapText="1"/>
    </xf>
    <xf numFmtId="0" fontId="12" fillId="0" borderId="0" xfId="0" applyFont="1" applyAlignment="1">
      <alignment vertical="center" wrapText="1"/>
    </xf>
    <xf numFmtId="0" fontId="12" fillId="0" borderId="0" xfId="0" applyFont="1" applyAlignment="1">
      <alignment horizontal="right" vertical="center" wrapText="1"/>
    </xf>
    <xf numFmtId="0" fontId="0" fillId="0" borderId="0" xfId="0" applyAlignment="1">
      <alignment horizontal="center" wrapText="1"/>
    </xf>
    <xf numFmtId="0" fontId="17" fillId="0" borderId="0" xfId="0" applyFont="1" applyAlignment="1">
      <alignment horizontal="left" vertical="center" wrapText="1"/>
    </xf>
    <xf numFmtId="0" fontId="18" fillId="0" borderId="0" xfId="0" applyFont="1" applyAlignment="1">
      <alignment wrapText="1"/>
    </xf>
    <xf numFmtId="4" fontId="0" fillId="0" borderId="0" xfId="0" applyNumberFormat="1"/>
    <xf numFmtId="0" fontId="15" fillId="0" borderId="0" xfId="2"/>
    <xf numFmtId="0" fontId="0" fillId="0" borderId="0" xfId="0" applyAlignment="1">
      <alignment vertical="top"/>
    </xf>
    <xf numFmtId="0" fontId="0" fillId="0" borderId="0" xfId="0" applyAlignment="1">
      <alignment vertical="top" wrapText="1"/>
    </xf>
    <xf numFmtId="0" fontId="15" fillId="0" borderId="0" xfId="2" applyAlignment="1">
      <alignment vertical="top"/>
    </xf>
    <xf numFmtId="0" fontId="17" fillId="0" borderId="0" xfId="0" applyFont="1" applyAlignment="1">
      <alignment wrapText="1"/>
    </xf>
    <xf numFmtId="0" fontId="2" fillId="0" borderId="10" xfId="0" applyFont="1" applyBorder="1"/>
    <xf numFmtId="4" fontId="2" fillId="0" borderId="10" xfId="0" applyNumberFormat="1" applyFont="1" applyBorder="1"/>
    <xf numFmtId="4" fontId="0" fillId="3" borderId="0" xfId="0" applyNumberFormat="1" applyFill="1"/>
    <xf numFmtId="0" fontId="14" fillId="4" borderId="0" xfId="0" applyFont="1" applyFill="1"/>
    <xf numFmtId="4" fontId="14" fillId="4" borderId="0" xfId="0" applyNumberFormat="1" applyFont="1" applyFill="1"/>
    <xf numFmtId="2" fontId="2" fillId="0" borderId="10" xfId="1" applyNumberFormat="1" applyFont="1" applyBorder="1"/>
    <xf numFmtId="0" fontId="2" fillId="0" borderId="1" xfId="0" applyFont="1" applyBorder="1" applyAlignment="1">
      <alignment vertical="top"/>
    </xf>
    <xf numFmtId="0" fontId="2" fillId="0" borderId="1" xfId="0" applyFont="1" applyBorder="1" applyAlignment="1">
      <alignment vertical="top" wrapText="1"/>
    </xf>
    <xf numFmtId="0" fontId="0" fillId="0" borderId="1" xfId="0" applyBorder="1" applyAlignment="1">
      <alignment vertical="top"/>
    </xf>
    <xf numFmtId="0" fontId="3" fillId="0" borderId="1" xfId="0" applyFont="1" applyBorder="1" applyAlignment="1">
      <alignment vertical="top" wrapText="1"/>
    </xf>
    <xf numFmtId="0" fontId="3" fillId="0" borderId="1" xfId="0" applyFont="1" applyBorder="1" applyAlignment="1">
      <alignment wrapText="1"/>
    </xf>
    <xf numFmtId="0" fontId="0" fillId="0" borderId="1" xfId="0" applyBorder="1" applyAlignment="1">
      <alignment vertical="top" wrapText="1"/>
    </xf>
    <xf numFmtId="0" fontId="0" fillId="0" borderId="0" xfId="0" quotePrefix="1" applyAlignment="1">
      <alignment wrapText="1"/>
    </xf>
    <xf numFmtId="0" fontId="0" fillId="5" borderId="0" xfId="0" applyFill="1"/>
    <xf numFmtId="0" fontId="2" fillId="0" borderId="0" xfId="0" applyFont="1" applyAlignment="1">
      <alignment wrapText="1"/>
    </xf>
    <xf numFmtId="0" fontId="0" fillId="0" borderId="0" xfId="0" applyAlignment="1">
      <alignment horizontal="left" vertical="center" indent="1"/>
    </xf>
    <xf numFmtId="0" fontId="2" fillId="0" borderId="0" xfId="0" applyFont="1" applyAlignment="1">
      <alignment horizontal="left" vertical="center" indent="1"/>
    </xf>
    <xf numFmtId="0" fontId="2" fillId="0" borderId="0" xfId="0" applyFont="1" applyAlignment="1">
      <alignment horizontal="left" vertical="center" indent="2"/>
    </xf>
    <xf numFmtId="0" fontId="10" fillId="0" borderId="0" xfId="0" applyFont="1" applyAlignment="1">
      <alignment vertical="center" wrapText="1"/>
    </xf>
    <xf numFmtId="0" fontId="0" fillId="0" borderId="0" xfId="0" applyAlignment="1">
      <alignment horizontal="left" vertical="center" wrapText="1"/>
    </xf>
    <xf numFmtId="0" fontId="2" fillId="0" borderId="0" xfId="0" applyFont="1" applyAlignment="1">
      <alignment horizontal="left" vertical="center" wrapText="1"/>
    </xf>
    <xf numFmtId="0" fontId="19" fillId="0" borderId="0" xfId="0" applyFont="1" applyAlignment="1">
      <alignment wrapText="1"/>
    </xf>
    <xf numFmtId="0" fontId="21" fillId="6" borderId="11" xfId="0" applyFont="1" applyFill="1" applyBorder="1" applyAlignment="1">
      <alignment horizontal="left" vertical="center" wrapText="1"/>
    </xf>
    <xf numFmtId="0" fontId="20" fillId="6" borderId="12" xfId="0" applyFont="1" applyFill="1" applyBorder="1" applyAlignment="1">
      <alignment horizontal="left" vertical="center" wrapText="1"/>
    </xf>
    <xf numFmtId="0" fontId="20" fillId="6" borderId="13" xfId="0" applyFont="1" applyFill="1" applyBorder="1" applyAlignment="1">
      <alignment horizontal="left" vertical="center" wrapText="1"/>
    </xf>
    <xf numFmtId="0" fontId="20" fillId="6" borderId="14" xfId="0" applyFont="1" applyFill="1" applyBorder="1" applyAlignment="1">
      <alignment horizontal="left" vertical="center" wrapText="1"/>
    </xf>
    <xf numFmtId="0" fontId="21" fillId="6" borderId="15" xfId="0" applyFont="1" applyFill="1" applyBorder="1" applyAlignment="1">
      <alignment horizontal="left" vertical="center" wrapText="1"/>
    </xf>
    <xf numFmtId="0" fontId="21" fillId="6" borderId="16" xfId="0" applyFont="1" applyFill="1" applyBorder="1" applyAlignment="1">
      <alignment horizontal="left" vertical="center" wrapText="1"/>
    </xf>
    <xf numFmtId="0" fontId="21" fillId="6" borderId="17" xfId="0" applyFont="1" applyFill="1" applyBorder="1" applyAlignment="1">
      <alignment horizontal="left" vertical="center" wrapText="1"/>
    </xf>
    <xf numFmtId="0" fontId="21" fillId="6" borderId="18" xfId="0" applyFont="1" applyFill="1" applyBorder="1" applyAlignment="1">
      <alignment horizontal="left" vertical="center" wrapText="1"/>
    </xf>
    <xf numFmtId="0" fontId="21" fillId="6" borderId="0" xfId="0" applyFont="1" applyFill="1" applyAlignment="1">
      <alignment horizontal="left" vertical="center" wrapText="1"/>
    </xf>
    <xf numFmtId="0" fontId="21" fillId="0" borderId="0" xfId="0" applyFont="1" applyAlignment="1">
      <alignment horizontal="left" vertical="center" wrapText="1" indent="1"/>
    </xf>
    <xf numFmtId="4" fontId="0" fillId="0" borderId="0" xfId="0" applyNumberFormat="1" applyAlignment="1">
      <alignment wrapText="1"/>
    </xf>
    <xf numFmtId="4" fontId="0" fillId="0" borderId="0" xfId="0" applyNumberFormat="1" applyAlignment="1">
      <alignment horizontal="left" vertical="center" wrapText="1"/>
    </xf>
    <xf numFmtId="4" fontId="2" fillId="0" borderId="0" xfId="0" applyNumberFormat="1" applyFont="1"/>
    <xf numFmtId="0" fontId="22" fillId="0" borderId="0" xfId="0" applyFont="1" applyAlignment="1">
      <alignment vertical="center" wrapText="1"/>
    </xf>
    <xf numFmtId="0" fontId="23" fillId="0" borderId="0" xfId="0" applyFont="1" applyAlignment="1">
      <alignment vertical="center" wrapText="1"/>
    </xf>
    <xf numFmtId="0" fontId="24" fillId="0" borderId="0" xfId="0" applyFont="1" applyAlignment="1">
      <alignment vertical="center" wrapText="1"/>
    </xf>
    <xf numFmtId="0" fontId="0" fillId="0" borderId="0" xfId="0" applyAlignment="1">
      <alignment horizontal="left" vertical="center" indent="2"/>
    </xf>
    <xf numFmtId="0" fontId="25" fillId="0" borderId="0" xfId="0" applyFont="1" applyAlignment="1">
      <alignment vertical="center" wrapText="1"/>
    </xf>
    <xf numFmtId="0" fontId="2" fillId="0" borderId="10" xfId="0" applyFont="1" applyBorder="1" applyAlignment="1">
      <alignment wrapText="1"/>
    </xf>
    <xf numFmtId="0" fontId="26" fillId="0" borderId="0" xfId="0" applyFont="1"/>
    <xf numFmtId="0" fontId="26" fillId="0" borderId="0" xfId="0" applyFont="1" applyAlignment="1">
      <alignment wrapText="1"/>
    </xf>
    <xf numFmtId="0" fontId="25" fillId="0" borderId="10" xfId="0" applyFont="1" applyBorder="1"/>
    <xf numFmtId="0" fontId="25" fillId="0" borderId="10" xfId="0" applyFont="1" applyBorder="1" applyAlignment="1">
      <alignment wrapText="1"/>
    </xf>
    <xf numFmtId="0" fontId="26" fillId="0" borderId="0" xfId="0" applyFont="1" applyAlignment="1">
      <alignment horizontal="left" vertical="center" wrapText="1"/>
    </xf>
    <xf numFmtId="0" fontId="25" fillId="0" borderId="0" xfId="0" applyFont="1" applyAlignment="1">
      <alignment horizontal="left" vertical="center" wrapText="1"/>
    </xf>
    <xf numFmtId="0" fontId="25" fillId="0" borderId="0" xfId="0" applyFont="1" applyAlignment="1">
      <alignment wrapText="1"/>
    </xf>
    <xf numFmtId="0" fontId="25" fillId="0" borderId="10" xfId="0" applyFont="1" applyBorder="1" applyAlignment="1">
      <alignment vertical="center" wrapText="1"/>
    </xf>
    <xf numFmtId="0" fontId="26" fillId="0" borderId="0" xfId="0" applyFont="1" applyAlignment="1">
      <alignment vertical="top"/>
    </xf>
    <xf numFmtId="0" fontId="4" fillId="0" borderId="0" xfId="0" applyFont="1" applyAlignment="1">
      <alignment horizontal="left" vertical="center" indent="1"/>
    </xf>
    <xf numFmtId="0" fontId="27" fillId="0" borderId="0" xfId="0" applyFont="1" applyAlignment="1">
      <alignment horizontal="left" vertical="center" wrapText="1" indent="1"/>
    </xf>
    <xf numFmtId="0" fontId="29" fillId="0" borderId="0" xfId="0" applyFont="1" applyAlignment="1">
      <alignment vertical="center" wrapText="1"/>
    </xf>
    <xf numFmtId="0" fontId="30" fillId="0" borderId="0" xfId="0" applyFont="1" applyAlignment="1">
      <alignment vertical="center" wrapText="1"/>
    </xf>
    <xf numFmtId="0" fontId="30" fillId="0" borderId="0" xfId="0" applyFont="1" applyAlignment="1">
      <alignment horizontal="left" vertical="center" wrapText="1" indent="1"/>
    </xf>
    <xf numFmtId="0" fontId="31" fillId="0" borderId="0" xfId="0" applyFont="1" applyAlignment="1">
      <alignment vertical="center" wrapText="1"/>
    </xf>
    <xf numFmtId="9" fontId="0" fillId="0" borderId="0" xfId="0" applyNumberFormat="1"/>
    <xf numFmtId="0" fontId="2" fillId="0" borderId="0" xfId="0" applyFont="1" applyAlignment="1">
      <alignment horizontal="left" vertical="center" wrapText="1" indent="1"/>
    </xf>
    <xf numFmtId="0" fontId="32" fillId="0" borderId="0" xfId="0" applyFont="1" applyAlignment="1">
      <alignment vertical="center" wrapText="1"/>
    </xf>
    <xf numFmtId="0" fontId="33" fillId="0" borderId="0" xfId="0" applyFont="1" applyAlignment="1">
      <alignment wrapText="1"/>
    </xf>
    <xf numFmtId="0" fontId="34" fillId="0" borderId="0" xfId="0" applyFont="1" applyAlignment="1">
      <alignment wrapText="1"/>
    </xf>
    <xf numFmtId="0" fontId="35" fillId="0" borderId="0" xfId="0" applyFont="1" applyAlignment="1">
      <alignment wrapText="1"/>
    </xf>
    <xf numFmtId="0" fontId="36" fillId="0" borderId="0" xfId="0" applyFont="1" applyAlignment="1">
      <alignment wrapText="1"/>
    </xf>
    <xf numFmtId="0" fontId="36" fillId="0" borderId="0" xfId="0" applyFont="1" applyAlignment="1">
      <alignment horizontal="left" vertical="center" wrapText="1"/>
    </xf>
    <xf numFmtId="0" fontId="25" fillId="0" borderId="0" xfId="0" applyFont="1" applyAlignment="1">
      <alignment vertical="center"/>
    </xf>
    <xf numFmtId="0" fontId="7" fillId="0" borderId="0" xfId="0" applyFont="1" applyAlignment="1">
      <alignment horizontal="left" vertical="center" wrapText="1"/>
    </xf>
    <xf numFmtId="0" fontId="3" fillId="0" borderId="0" xfId="0" quotePrefix="1" applyFont="1" applyAlignment="1">
      <alignment wrapText="1"/>
    </xf>
    <xf numFmtId="0" fontId="23" fillId="0" borderId="6" xfId="0" applyFont="1" applyBorder="1" applyAlignment="1">
      <alignment horizontal="center" vertical="center" wrapText="1"/>
    </xf>
    <xf numFmtId="0" fontId="23" fillId="0" borderId="5" xfId="0" applyFont="1" applyBorder="1" applyAlignment="1">
      <alignment horizontal="center" vertical="center" wrapText="1"/>
    </xf>
    <xf numFmtId="0" fontId="2" fillId="0" borderId="0" xfId="0" applyFont="1" applyAlignment="1">
      <alignment horizontal="center" vertical="center" wrapText="1"/>
    </xf>
    <xf numFmtId="0" fontId="25" fillId="0" borderId="10" xfId="0" applyFont="1" applyBorder="1" applyAlignment="1">
      <alignment horizontal="center"/>
    </xf>
  </cellXfs>
  <cellStyles count="3">
    <cellStyle name="Comma" xfId="1" builtinId="3"/>
    <cellStyle name="Hyperlink" xfId="2" builtinId="8"/>
    <cellStyle name="Normal" xfId="0" builtinId="0"/>
  </cellStyles>
  <dxfs count="23">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strike val="0"/>
        <outline val="0"/>
        <shadow val="0"/>
        <u val="none"/>
        <vertAlign val="baseline"/>
        <sz val="11"/>
        <color theme="1"/>
        <name val="Calibri"/>
        <family val="2"/>
        <scheme val="minor"/>
      </font>
      <alignment horizontal="right" vertical="center" textRotation="0" wrapText="1" indent="0" justifyLastLine="0" shrinkToFit="0" readingOrder="0"/>
      <border diagonalUp="0" diagonalDown="0" outline="0">
        <left style="thin">
          <color auto="1"/>
        </left>
        <right/>
        <top style="thin">
          <color auto="1"/>
        </top>
        <bottom style="thin">
          <color auto="1"/>
        </bottom>
      </border>
    </dxf>
    <dxf>
      <font>
        <strike val="0"/>
        <outline val="0"/>
        <shadow val="0"/>
        <u val="none"/>
        <vertAlign val="baseline"/>
        <sz val="11"/>
        <color theme="1"/>
        <name val="Calibri"/>
        <family val="2"/>
        <scheme val="minor"/>
      </font>
      <alignment horizontal="righ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theme="1"/>
        <name val="Calibri"/>
        <family val="2"/>
        <scheme val="minor"/>
      </font>
      <alignment horizontal="righ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theme="1"/>
        <name val="Calibri"/>
        <family val="2"/>
        <scheme val="minor"/>
      </font>
      <alignment horizontal="righ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theme="1"/>
        <name val="Calibri"/>
        <family val="2"/>
        <scheme val="minor"/>
      </font>
      <alignment horizontal="righ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outline="0">
        <left/>
        <right style="thin">
          <color auto="1"/>
        </right>
        <top style="thin">
          <color auto="1"/>
        </top>
        <bottom style="thin">
          <color auto="1"/>
        </bottom>
      </border>
    </dxf>
    <dxf>
      <border>
        <top style="thin">
          <color auto="1"/>
        </top>
      </border>
    </dxf>
    <dxf>
      <border diagonalUp="0" diagonalDown="0">
        <left style="thin">
          <color auto="1"/>
        </left>
        <right style="thin">
          <color auto="1"/>
        </right>
        <top style="thin">
          <color auto="1"/>
        </top>
        <bottom style="thin">
          <color auto="1"/>
        </bottom>
      </border>
    </dxf>
    <dxf>
      <font>
        <strike val="0"/>
        <outline val="0"/>
        <shadow val="0"/>
        <u val="none"/>
        <vertAlign val="baseline"/>
        <sz val="11"/>
        <color theme="1"/>
        <name val="Calibri"/>
        <family val="2"/>
        <scheme val="minor"/>
      </font>
      <alignment horizontal="general" vertical="center" textRotation="0" wrapText="1" indent="0" justifyLastLine="0" shrinkToFit="0" readingOrder="0"/>
    </dxf>
    <dxf>
      <border>
        <bottom style="thin">
          <color auto="1"/>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C39F4B-2B6A-405D-8E34-79BF138BBA98}" name="Table1" displayName="Table1" ref="B2:G15" totalsRowShown="0" headerRowDxfId="22" dataDxfId="20" headerRowBorderDxfId="21" tableBorderDxfId="19" totalsRowBorderDxfId="18">
  <tableColumns count="6">
    <tableColumn id="1" xr3:uid="{8F1C3E3C-2E43-49E1-A944-943199042B9A}" name="Violation Number" dataDxfId="17"/>
    <tableColumn id="2" xr3:uid="{4C8BB7DC-C650-4D8E-9644-7F2021AAE04B}" name="Description of Violation" dataDxfId="16"/>
    <tableColumn id="3" xr3:uid="{8E407583-C597-433D-B5E9-18F6060FE8C0}" name="Administrative Penalty Amount (AED)" dataDxfId="15"/>
    <tableColumn id="4" xr3:uid="{9A81777C-4025-4F5B-9AEA-052E6540AD3E}" name="Deadline for Compliance" dataDxfId="14"/>
    <tableColumn id="5" xr3:uid="{5EDEEDC2-A2D7-414A-9470-B89DB5841FF3}" name="Professional Assistance (Golden Fortune Corporate Service LLC)" dataDxfId="13"/>
    <tableColumn id="6" xr3:uid="{5269C153-98C7-419C-B666-E4DDC0E9C6AB}" name="Remarks/Comments"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F54B52-53C7-4A5C-A82C-18F8DD05A04D}" name="Table2" displayName="Table2" ref="B20:D34" totalsRowShown="0" headerRowDxfId="11">
  <tableColumns count="3">
    <tableColumn id="1" xr3:uid="{C210BE3A-C4CB-4EB9-B05A-9A74E7C74E6F}" name="Category" dataDxfId="10"/>
    <tableColumn id="2" xr3:uid="{316021F2-0816-4950-BA7D-8BF22F9906D3}" name="Violation Description" dataDxfId="9"/>
    <tableColumn id="3" xr3:uid="{DC2BFD37-80D0-46F8-96B6-A6FFA978E36D}" name="Penalty (AED)" dataDxfId="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F6E8CE-94B8-4E63-A605-709DFA9F9797}" name="Table3" displayName="Table3" ref="B2:D10" totalsRowShown="0" headerRowDxfId="7">
  <tableColumns count="3">
    <tableColumn id="1" xr3:uid="{B378425B-BFB1-4BAC-BAB6-0E566A045787}" name="Offence" dataDxfId="6"/>
    <tableColumn id="2" xr3:uid="{6AF299D1-6825-4DE1-96AE-4832051B9EEC}" name="Fine Amount" dataDxfId="5"/>
    <tableColumn id="3" xr3:uid="{99B78983-7CEE-4DA7-A26E-C360DB2A5C8E}" name="Details" dataDxfId="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AD73722-8FE6-4BD6-83FF-F05AD9EBEE70}" name="Table4" displayName="Table4" ref="B15:D27" totalsRowShown="0" headerRowDxfId="3">
  <tableColumns count="3">
    <tableColumn id="1" xr3:uid="{E421B2BD-FF69-4169-A3E9-55A9DA42759B}" name="Section" dataDxfId="2"/>
    <tableColumn id="2" xr3:uid="{A7F937E4-8445-4AFA-84F4-848652EF5490}" name="Description" dataDxfId="1"/>
    <tableColumn id="3" xr3:uid="{DEB75D63-0F7F-4F05-B02C-213F00A8525F}" name="Conditions and Rules"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2" Type="http://schemas.openxmlformats.org/officeDocument/2006/relationships/hyperlink" Target="https://goldenfortune.ae/about-us/" TargetMode="External"/><Relationship Id="rId1" Type="http://schemas.openxmlformats.org/officeDocument/2006/relationships/hyperlink" Target="https://goldenfortune.ae/assistance-in-vat-account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44B1F-42E5-4EB6-B0F6-9AFDB3AFC565}">
  <dimension ref="B2:C308"/>
  <sheetViews>
    <sheetView zoomScale="145" workbookViewId="0">
      <selection activeCell="C303" sqref="C303:C309"/>
    </sheetView>
  </sheetViews>
  <sheetFormatPr baseColWidth="10" defaultColWidth="9.1640625" defaultRowHeight="15" x14ac:dyDescent="0.2"/>
  <cols>
    <col min="1" max="1" width="2" style="7" customWidth="1"/>
    <col min="2" max="2" width="9.1640625" style="7"/>
    <col min="3" max="3" width="132.1640625" style="7" customWidth="1"/>
    <col min="4" max="16384" width="9.1640625" style="7"/>
  </cols>
  <sheetData>
    <row r="2" spans="2:3" ht="16" x14ac:dyDescent="0.2">
      <c r="B2" s="4" t="s">
        <v>0</v>
      </c>
      <c r="C2" s="4" t="s">
        <v>1</v>
      </c>
    </row>
    <row r="3" spans="2:3" ht="16" x14ac:dyDescent="0.2">
      <c r="B3" s="4">
        <v>1</v>
      </c>
      <c r="C3" s="4" t="s">
        <v>2</v>
      </c>
    </row>
    <row r="4" spans="2:3" ht="48" x14ac:dyDescent="0.2">
      <c r="C4" s="5" t="s">
        <v>19</v>
      </c>
    </row>
    <row r="5" spans="2:3" x14ac:dyDescent="0.2">
      <c r="B5" s="6"/>
      <c r="C5" s="6"/>
    </row>
    <row r="6" spans="2:3" ht="16" x14ac:dyDescent="0.2">
      <c r="B6" s="4">
        <f>B3+1</f>
        <v>2</v>
      </c>
      <c r="C6" s="4" t="s">
        <v>69</v>
      </c>
    </row>
    <row r="7" spans="2:3" ht="32" x14ac:dyDescent="0.2">
      <c r="C7" s="5" t="s">
        <v>70</v>
      </c>
    </row>
    <row r="8" spans="2:3" x14ac:dyDescent="0.2">
      <c r="B8" s="6"/>
      <c r="C8" s="6"/>
    </row>
    <row r="9" spans="2:3" ht="16" x14ac:dyDescent="0.2">
      <c r="B9" s="4">
        <f>B6+1</f>
        <v>3</v>
      </c>
      <c r="C9" s="4" t="s">
        <v>3</v>
      </c>
    </row>
    <row r="10" spans="2:3" ht="64" x14ac:dyDescent="0.2">
      <c r="C10" s="5" t="s">
        <v>195</v>
      </c>
    </row>
    <row r="11" spans="2:3" x14ac:dyDescent="0.2">
      <c r="B11" s="6"/>
      <c r="C11" s="8"/>
    </row>
    <row r="12" spans="2:3" ht="16" x14ac:dyDescent="0.2">
      <c r="B12" s="4">
        <f>B9+1</f>
        <v>4</v>
      </c>
      <c r="C12" s="34" t="s">
        <v>198</v>
      </c>
    </row>
    <row r="13" spans="2:3" ht="96" x14ac:dyDescent="0.2">
      <c r="C13" s="33" t="s">
        <v>199</v>
      </c>
    </row>
    <row r="14" spans="2:3" x14ac:dyDescent="0.2">
      <c r="B14" s="6"/>
      <c r="C14" s="8"/>
    </row>
    <row r="15" spans="2:3" ht="16" x14ac:dyDescent="0.2">
      <c r="B15" s="4">
        <f>B12+1</f>
        <v>5</v>
      </c>
      <c r="C15" s="34" t="s">
        <v>200</v>
      </c>
    </row>
    <row r="16" spans="2:3" x14ac:dyDescent="0.2">
      <c r="C16" t="s">
        <v>201</v>
      </c>
    </row>
    <row r="17" spans="2:3" x14ac:dyDescent="0.2">
      <c r="B17" s="6"/>
      <c r="C17" s="8"/>
    </row>
    <row r="18" spans="2:3" ht="16" x14ac:dyDescent="0.2">
      <c r="B18" s="4">
        <f>B15+1</f>
        <v>6</v>
      </c>
      <c r="C18" s="34" t="s">
        <v>202</v>
      </c>
    </row>
    <row r="19" spans="2:3" ht="96" x14ac:dyDescent="0.2">
      <c r="C19" s="1" t="s">
        <v>203</v>
      </c>
    </row>
    <row r="20" spans="2:3" x14ac:dyDescent="0.2">
      <c r="B20" s="6"/>
      <c r="C20" s="8"/>
    </row>
    <row r="21" spans="2:3" ht="16" x14ac:dyDescent="0.2">
      <c r="B21" s="4">
        <f>B18+1</f>
        <v>7</v>
      </c>
      <c r="C21" s="34" t="s">
        <v>229</v>
      </c>
    </row>
    <row r="22" spans="2:3" ht="32" x14ac:dyDescent="0.2">
      <c r="C22" s="33" t="s">
        <v>230</v>
      </c>
    </row>
    <row r="23" spans="2:3" x14ac:dyDescent="0.2">
      <c r="B23" s="6"/>
      <c r="C23" s="8"/>
    </row>
    <row r="24" spans="2:3" ht="16" x14ac:dyDescent="0.2">
      <c r="B24" s="4">
        <f>B21+1</f>
        <v>8</v>
      </c>
      <c r="C24" s="4" t="s">
        <v>196</v>
      </c>
    </row>
    <row r="25" spans="2:3" ht="144" x14ac:dyDescent="0.2">
      <c r="C25" s="33" t="s">
        <v>197</v>
      </c>
    </row>
    <row r="26" spans="2:3" x14ac:dyDescent="0.2">
      <c r="B26" s="6"/>
      <c r="C26" s="8"/>
    </row>
    <row r="27" spans="2:3" ht="16" x14ac:dyDescent="0.2">
      <c r="B27" s="4">
        <f>B24+1</f>
        <v>9</v>
      </c>
      <c r="C27" s="34" t="s">
        <v>237</v>
      </c>
    </row>
    <row r="28" spans="2:3" ht="272" x14ac:dyDescent="0.2">
      <c r="C28" s="106" t="s">
        <v>1131</v>
      </c>
    </row>
    <row r="29" spans="2:3" x14ac:dyDescent="0.2">
      <c r="B29" s="6"/>
      <c r="C29" s="8"/>
    </row>
    <row r="30" spans="2:3" ht="16" x14ac:dyDescent="0.2">
      <c r="B30" s="4">
        <f>B27+1</f>
        <v>10</v>
      </c>
      <c r="C30" s="4" t="s">
        <v>1132</v>
      </c>
    </row>
    <row r="31" spans="2:3" ht="32" x14ac:dyDescent="0.2">
      <c r="C31" s="1" t="s">
        <v>1133</v>
      </c>
    </row>
    <row r="32" spans="2:3" x14ac:dyDescent="0.2">
      <c r="B32" s="6"/>
      <c r="C32" s="9"/>
    </row>
    <row r="33" spans="2:3" x14ac:dyDescent="0.2">
      <c r="B33" s="4">
        <f>B30+1</f>
        <v>11</v>
      </c>
      <c r="C33" s="2" t="s">
        <v>1134</v>
      </c>
    </row>
    <row r="34" spans="2:3" ht="32" x14ac:dyDescent="0.2">
      <c r="C34" s="1" t="s">
        <v>1135</v>
      </c>
    </row>
    <row r="35" spans="2:3" x14ac:dyDescent="0.2">
      <c r="B35" s="6"/>
      <c r="C35" s="9"/>
    </row>
    <row r="36" spans="2:3" x14ac:dyDescent="0.2">
      <c r="B36" s="4">
        <f>B33+1</f>
        <v>12</v>
      </c>
      <c r="C36" s="2" t="s">
        <v>1136</v>
      </c>
    </row>
    <row r="37" spans="2:3" ht="144" x14ac:dyDescent="0.2">
      <c r="C37" s="1" t="s">
        <v>1137</v>
      </c>
    </row>
    <row r="38" spans="2:3" x14ac:dyDescent="0.2">
      <c r="B38" s="6"/>
      <c r="C38" s="9"/>
    </row>
    <row r="39" spans="2:3" x14ac:dyDescent="0.2">
      <c r="B39" s="4">
        <f>B36+1</f>
        <v>13</v>
      </c>
      <c r="C39" s="2" t="s">
        <v>1140</v>
      </c>
    </row>
    <row r="40" spans="2:3" ht="112" x14ac:dyDescent="0.2">
      <c r="C40" s="1" t="s">
        <v>1141</v>
      </c>
    </row>
    <row r="41" spans="2:3" x14ac:dyDescent="0.2">
      <c r="B41" s="6"/>
      <c r="C41" s="9"/>
    </row>
    <row r="42" spans="2:3" x14ac:dyDescent="0.2">
      <c r="B42" s="4">
        <f>B36+1</f>
        <v>13</v>
      </c>
      <c r="C42" s="2" t="s">
        <v>1138</v>
      </c>
    </row>
    <row r="43" spans="2:3" ht="16" x14ac:dyDescent="0.2">
      <c r="C43" s="1" t="s">
        <v>1139</v>
      </c>
    </row>
    <row r="44" spans="2:3" x14ac:dyDescent="0.2">
      <c r="B44" s="6"/>
      <c r="C44" s="9"/>
    </row>
    <row r="45" spans="2:3" ht="16" x14ac:dyDescent="0.2">
      <c r="B45" s="4">
        <f>B42+1</f>
        <v>14</v>
      </c>
      <c r="C45" s="34" t="s">
        <v>227</v>
      </c>
    </row>
    <row r="46" spans="2:3" ht="16" x14ac:dyDescent="0.2">
      <c r="C46" s="40" t="s">
        <v>228</v>
      </c>
    </row>
    <row r="47" spans="2:3" x14ac:dyDescent="0.2">
      <c r="B47" s="6"/>
      <c r="C47" s="6"/>
    </row>
    <row r="48" spans="2:3" ht="16" x14ac:dyDescent="0.2">
      <c r="B48" s="4">
        <f>B45+1</f>
        <v>15</v>
      </c>
      <c r="C48" s="4" t="s">
        <v>4</v>
      </c>
    </row>
    <row r="49" spans="2:3" ht="80" x14ac:dyDescent="0.2">
      <c r="C49" s="5" t="s">
        <v>20</v>
      </c>
    </row>
    <row r="50" spans="2:3" x14ac:dyDescent="0.2">
      <c r="B50" s="6"/>
      <c r="C50" s="6"/>
    </row>
    <row r="51" spans="2:3" ht="16" x14ac:dyDescent="0.2">
      <c r="B51" s="4">
        <f>B48+1</f>
        <v>16</v>
      </c>
      <c r="C51" s="4" t="s">
        <v>5</v>
      </c>
    </row>
    <row r="52" spans="2:3" ht="16" x14ac:dyDescent="0.2">
      <c r="C52" s="10" t="s">
        <v>21</v>
      </c>
    </row>
    <row r="53" spans="2:3" x14ac:dyDescent="0.2">
      <c r="B53" s="6"/>
      <c r="C53" s="11"/>
    </row>
    <row r="54" spans="2:3" ht="16" x14ac:dyDescent="0.2">
      <c r="B54" s="4">
        <f>B51+1</f>
        <v>17</v>
      </c>
      <c r="C54" s="4" t="s">
        <v>6</v>
      </c>
    </row>
    <row r="55" spans="2:3" ht="16" x14ac:dyDescent="0.2">
      <c r="C55" s="10" t="s">
        <v>22</v>
      </c>
    </row>
    <row r="56" spans="2:3" x14ac:dyDescent="0.2">
      <c r="B56" s="6"/>
      <c r="C56" s="8"/>
    </row>
    <row r="57" spans="2:3" ht="16" x14ac:dyDescent="0.2">
      <c r="B57" s="4">
        <f>B54+1</f>
        <v>18</v>
      </c>
      <c r="C57" s="4" t="s">
        <v>7</v>
      </c>
    </row>
    <row r="58" spans="2:3" ht="48" x14ac:dyDescent="0.2">
      <c r="C58" s="5" t="s">
        <v>23</v>
      </c>
    </row>
    <row r="59" spans="2:3" x14ac:dyDescent="0.2">
      <c r="B59" s="6"/>
      <c r="C59" s="6"/>
    </row>
    <row r="60" spans="2:3" ht="16" x14ac:dyDescent="0.2">
      <c r="B60" s="4">
        <f>B57+1</f>
        <v>19</v>
      </c>
      <c r="C60" s="4" t="s">
        <v>8</v>
      </c>
    </row>
    <row r="61" spans="2:3" ht="144" x14ac:dyDescent="0.2">
      <c r="C61" s="5" t="s">
        <v>194</v>
      </c>
    </row>
    <row r="62" spans="2:3" x14ac:dyDescent="0.2">
      <c r="B62" s="6"/>
      <c r="C62" s="6"/>
    </row>
    <row r="63" spans="2:3" ht="16" x14ac:dyDescent="0.2">
      <c r="B63" s="4">
        <f>B60+1</f>
        <v>20</v>
      </c>
      <c r="C63" s="4" t="s">
        <v>9</v>
      </c>
    </row>
    <row r="64" spans="2:3" ht="144" x14ac:dyDescent="0.2">
      <c r="C64" s="5" t="s">
        <v>1142</v>
      </c>
    </row>
    <row r="65" spans="2:3" x14ac:dyDescent="0.2">
      <c r="B65" s="6"/>
      <c r="C65" s="6"/>
    </row>
    <row r="66" spans="2:3" ht="16" x14ac:dyDescent="0.2">
      <c r="B66" s="4">
        <f>B63+1</f>
        <v>21</v>
      </c>
      <c r="C66" s="4" t="s">
        <v>10</v>
      </c>
    </row>
    <row r="67" spans="2:3" ht="32" x14ac:dyDescent="0.2">
      <c r="C67" s="5" t="s">
        <v>24</v>
      </c>
    </row>
    <row r="68" spans="2:3" x14ac:dyDescent="0.2">
      <c r="B68" s="6"/>
      <c r="C68" s="6"/>
    </row>
    <row r="69" spans="2:3" ht="16" x14ac:dyDescent="0.2">
      <c r="B69" s="4">
        <f>B66+1</f>
        <v>22</v>
      </c>
      <c r="C69" s="4" t="s">
        <v>44</v>
      </c>
    </row>
    <row r="70" spans="2:3" ht="80" x14ac:dyDescent="0.2">
      <c r="C70" s="5" t="s">
        <v>45</v>
      </c>
    </row>
    <row r="71" spans="2:3" x14ac:dyDescent="0.2">
      <c r="B71" s="6"/>
      <c r="C71" s="6"/>
    </row>
    <row r="72" spans="2:3" ht="16" x14ac:dyDescent="0.2">
      <c r="B72" s="4">
        <f>B66+1</f>
        <v>22</v>
      </c>
      <c r="C72" s="34" t="s">
        <v>231</v>
      </c>
    </row>
    <row r="73" spans="2:3" ht="128" x14ac:dyDescent="0.2">
      <c r="C73" s="40" t="s">
        <v>232</v>
      </c>
    </row>
    <row r="74" spans="2:3" x14ac:dyDescent="0.2">
      <c r="B74" s="6"/>
      <c r="C74" s="6"/>
    </row>
    <row r="75" spans="2:3" ht="16" x14ac:dyDescent="0.2">
      <c r="B75" s="4">
        <f>B69+1</f>
        <v>23</v>
      </c>
      <c r="C75" s="4" t="s">
        <v>11</v>
      </c>
    </row>
    <row r="76" spans="2:3" ht="48" x14ac:dyDescent="0.2">
      <c r="C76" s="5" t="s">
        <v>82</v>
      </c>
    </row>
    <row r="77" spans="2:3" x14ac:dyDescent="0.2">
      <c r="B77" s="6"/>
      <c r="C77" s="6"/>
    </row>
    <row r="78" spans="2:3" ht="16" x14ac:dyDescent="0.2">
      <c r="B78" s="4">
        <f>B75+1</f>
        <v>24</v>
      </c>
      <c r="C78" s="4" t="s">
        <v>29</v>
      </c>
    </row>
    <row r="79" spans="2:3" ht="16" x14ac:dyDescent="0.2">
      <c r="C79" s="5" t="s">
        <v>30</v>
      </c>
    </row>
    <row r="80" spans="2:3" x14ac:dyDescent="0.2">
      <c r="B80" s="6"/>
      <c r="C80" s="6"/>
    </row>
    <row r="81" spans="2:3" ht="16" x14ac:dyDescent="0.2">
      <c r="B81" s="4">
        <f>B78+1</f>
        <v>25</v>
      </c>
      <c r="C81" s="4" t="s">
        <v>27</v>
      </c>
    </row>
    <row r="82" spans="2:3" ht="240" x14ac:dyDescent="0.2">
      <c r="C82" s="5" t="s">
        <v>40</v>
      </c>
    </row>
    <row r="83" spans="2:3" x14ac:dyDescent="0.2">
      <c r="B83" s="6"/>
      <c r="C83" s="6"/>
    </row>
    <row r="84" spans="2:3" ht="16" x14ac:dyDescent="0.2">
      <c r="B84" s="4">
        <f>B81+1</f>
        <v>26</v>
      </c>
      <c r="C84" s="4" t="s">
        <v>28</v>
      </c>
    </row>
    <row r="85" spans="2:3" ht="64" x14ac:dyDescent="0.2">
      <c r="C85" s="5" t="s">
        <v>35</v>
      </c>
    </row>
    <row r="86" spans="2:3" x14ac:dyDescent="0.2">
      <c r="B86" s="6"/>
      <c r="C86" s="6"/>
    </row>
    <row r="87" spans="2:3" ht="16" x14ac:dyDescent="0.2">
      <c r="B87" s="4">
        <f>B84+1</f>
        <v>27</v>
      </c>
      <c r="C87" s="4" t="s">
        <v>46</v>
      </c>
    </row>
    <row r="88" spans="2:3" ht="80" x14ac:dyDescent="0.2">
      <c r="C88" s="5" t="s">
        <v>47</v>
      </c>
    </row>
    <row r="89" spans="2:3" x14ac:dyDescent="0.2">
      <c r="B89" s="6"/>
      <c r="C89" s="6"/>
    </row>
    <row r="90" spans="2:3" ht="16" x14ac:dyDescent="0.2">
      <c r="B90" s="4">
        <f>B87+1</f>
        <v>28</v>
      </c>
      <c r="C90" s="4" t="s">
        <v>36</v>
      </c>
    </row>
    <row r="91" spans="2:3" ht="16" x14ac:dyDescent="0.2">
      <c r="C91" s="5" t="s">
        <v>37</v>
      </c>
    </row>
    <row r="92" spans="2:3" x14ac:dyDescent="0.2">
      <c r="B92" s="6"/>
      <c r="C92" s="6"/>
    </row>
    <row r="93" spans="2:3" ht="16" x14ac:dyDescent="0.2">
      <c r="B93" s="4">
        <f>B90+1</f>
        <v>29</v>
      </c>
      <c r="C93" s="4" t="s">
        <v>31</v>
      </c>
    </row>
    <row r="94" spans="2:3" ht="48" x14ac:dyDescent="0.2">
      <c r="C94" s="5" t="s">
        <v>32</v>
      </c>
    </row>
    <row r="95" spans="2:3" x14ac:dyDescent="0.2">
      <c r="B95" s="6"/>
      <c r="C95" s="6"/>
    </row>
    <row r="96" spans="2:3" ht="32" x14ac:dyDescent="0.2">
      <c r="B96" s="4">
        <f>B93+1</f>
        <v>30</v>
      </c>
      <c r="C96" s="4" t="s">
        <v>33</v>
      </c>
    </row>
    <row r="97" spans="2:3" ht="48" x14ac:dyDescent="0.2">
      <c r="C97" s="5" t="s">
        <v>34</v>
      </c>
    </row>
    <row r="98" spans="2:3" x14ac:dyDescent="0.2">
      <c r="B98" s="6"/>
      <c r="C98" s="6"/>
    </row>
    <row r="99" spans="2:3" ht="16" x14ac:dyDescent="0.2">
      <c r="B99" s="4">
        <f>B96+1</f>
        <v>31</v>
      </c>
      <c r="C99" s="4" t="s">
        <v>38</v>
      </c>
    </row>
    <row r="100" spans="2:3" ht="48" x14ac:dyDescent="0.2">
      <c r="C100" s="5" t="s">
        <v>39</v>
      </c>
    </row>
    <row r="101" spans="2:3" x14ac:dyDescent="0.2">
      <c r="B101" s="6"/>
      <c r="C101" s="6"/>
    </row>
    <row r="102" spans="2:3" ht="16" x14ac:dyDescent="0.2">
      <c r="B102" s="4">
        <f>B99+1</f>
        <v>32</v>
      </c>
      <c r="C102" s="4" t="s">
        <v>48</v>
      </c>
    </row>
    <row r="103" spans="2:3" ht="80" x14ac:dyDescent="0.2">
      <c r="C103" s="5" t="s">
        <v>83</v>
      </c>
    </row>
    <row r="104" spans="2:3" x14ac:dyDescent="0.2">
      <c r="B104" s="6"/>
      <c r="C104" s="6"/>
    </row>
    <row r="105" spans="2:3" ht="16" x14ac:dyDescent="0.2">
      <c r="B105" s="4">
        <f>B102+1</f>
        <v>33</v>
      </c>
      <c r="C105" s="4" t="s">
        <v>49</v>
      </c>
    </row>
    <row r="106" spans="2:3" ht="48" x14ac:dyDescent="0.2">
      <c r="C106" s="5" t="s">
        <v>50</v>
      </c>
    </row>
    <row r="107" spans="2:3" x14ac:dyDescent="0.2">
      <c r="B107" s="6"/>
      <c r="C107" s="6"/>
    </row>
    <row r="108" spans="2:3" ht="16" x14ac:dyDescent="0.2">
      <c r="B108" s="4">
        <f>B105+1</f>
        <v>34</v>
      </c>
      <c r="C108" s="4" t="s">
        <v>12</v>
      </c>
    </row>
    <row r="109" spans="2:3" ht="32" x14ac:dyDescent="0.2">
      <c r="C109" s="5" t="s">
        <v>25</v>
      </c>
    </row>
    <row r="110" spans="2:3" x14ac:dyDescent="0.2">
      <c r="B110" s="6"/>
      <c r="C110" s="6"/>
    </row>
    <row r="111" spans="2:3" ht="16" x14ac:dyDescent="0.2">
      <c r="B111" s="4">
        <f>B108+1</f>
        <v>35</v>
      </c>
      <c r="C111" s="4" t="s">
        <v>41</v>
      </c>
    </row>
    <row r="112" spans="2:3" ht="80" x14ac:dyDescent="0.2">
      <c r="C112" s="5" t="s">
        <v>42</v>
      </c>
    </row>
    <row r="113" spans="2:3" x14ac:dyDescent="0.2">
      <c r="B113" s="6"/>
      <c r="C113" s="6"/>
    </row>
    <row r="114" spans="2:3" ht="16" x14ac:dyDescent="0.2">
      <c r="B114" s="4">
        <f>B111+1</f>
        <v>36</v>
      </c>
      <c r="C114" s="4" t="s">
        <v>43</v>
      </c>
    </row>
    <row r="115" spans="2:3" ht="64" x14ac:dyDescent="0.2">
      <c r="C115" s="5" t="s">
        <v>692</v>
      </c>
    </row>
    <row r="116" spans="2:3" x14ac:dyDescent="0.2">
      <c r="B116" s="6"/>
      <c r="C116" s="6"/>
    </row>
    <row r="117" spans="2:3" ht="16" x14ac:dyDescent="0.2">
      <c r="B117" s="4">
        <f>B114+1</f>
        <v>37</v>
      </c>
      <c r="C117" s="4" t="s">
        <v>51</v>
      </c>
    </row>
    <row r="118" spans="2:3" ht="240" x14ac:dyDescent="0.2">
      <c r="C118" s="5" t="s">
        <v>52</v>
      </c>
    </row>
    <row r="119" spans="2:3" x14ac:dyDescent="0.2">
      <c r="B119" s="6"/>
      <c r="C119" s="6"/>
    </row>
    <row r="120" spans="2:3" ht="16" x14ac:dyDescent="0.2">
      <c r="B120" s="4">
        <f>B117+1</f>
        <v>38</v>
      </c>
      <c r="C120" s="4" t="s">
        <v>53</v>
      </c>
    </row>
    <row r="121" spans="2:3" ht="48" x14ac:dyDescent="0.2">
      <c r="C121" s="5" t="s">
        <v>54</v>
      </c>
    </row>
    <row r="122" spans="2:3" x14ac:dyDescent="0.2">
      <c r="B122" s="6"/>
      <c r="C122" s="6"/>
    </row>
    <row r="123" spans="2:3" ht="16" x14ac:dyDescent="0.2">
      <c r="B123" s="4">
        <f>B120+1</f>
        <v>39</v>
      </c>
      <c r="C123" s="34" t="s">
        <v>233</v>
      </c>
    </row>
    <row r="124" spans="2:3" ht="96" x14ac:dyDescent="0.2">
      <c r="C124" s="40" t="s">
        <v>234</v>
      </c>
    </row>
    <row r="125" spans="2:3" x14ac:dyDescent="0.2">
      <c r="B125" s="6"/>
      <c r="C125" s="6"/>
    </row>
    <row r="126" spans="2:3" ht="16" x14ac:dyDescent="0.2">
      <c r="B126" s="4">
        <f>B123+1</f>
        <v>40</v>
      </c>
      <c r="C126" s="34" t="s">
        <v>235</v>
      </c>
    </row>
    <row r="127" spans="2:3" ht="32" x14ac:dyDescent="0.2">
      <c r="C127" s="40" t="s">
        <v>236</v>
      </c>
    </row>
    <row r="128" spans="2:3" x14ac:dyDescent="0.2">
      <c r="B128" s="6"/>
      <c r="C128" s="6"/>
    </row>
    <row r="129" spans="2:3" ht="16" x14ac:dyDescent="0.2">
      <c r="B129" s="4">
        <f>B126+1</f>
        <v>41</v>
      </c>
      <c r="C129" s="4" t="s">
        <v>13</v>
      </c>
    </row>
    <row r="130" spans="2:3" ht="160" x14ac:dyDescent="0.2">
      <c r="C130" s="5" t="s">
        <v>84</v>
      </c>
    </row>
    <row r="131" spans="2:3" x14ac:dyDescent="0.2">
      <c r="B131" s="6"/>
      <c r="C131" s="6"/>
    </row>
    <row r="132" spans="2:3" ht="16" x14ac:dyDescent="0.2">
      <c r="B132" s="4">
        <f>B129+1</f>
        <v>42</v>
      </c>
      <c r="C132" s="4" t="s">
        <v>14</v>
      </c>
    </row>
    <row r="133" spans="2:3" ht="350" x14ac:dyDescent="0.2">
      <c r="C133" s="5" t="s">
        <v>26</v>
      </c>
    </row>
    <row r="134" spans="2:3" x14ac:dyDescent="0.2">
      <c r="B134" s="6"/>
      <c r="C134" s="6"/>
    </row>
    <row r="135" spans="2:3" ht="16" x14ac:dyDescent="0.2">
      <c r="B135" s="4">
        <f>B132+1</f>
        <v>43</v>
      </c>
      <c r="C135" s="4" t="s">
        <v>15</v>
      </c>
    </row>
    <row r="136" spans="2:3" ht="160" x14ac:dyDescent="0.2">
      <c r="C136" s="5" t="s">
        <v>85</v>
      </c>
    </row>
    <row r="137" spans="2:3" x14ac:dyDescent="0.2">
      <c r="B137" s="6"/>
      <c r="C137" s="6"/>
    </row>
    <row r="138" spans="2:3" ht="16" x14ac:dyDescent="0.2">
      <c r="B138" s="4">
        <f>B135+1</f>
        <v>44</v>
      </c>
      <c r="C138" s="4" t="s">
        <v>16</v>
      </c>
    </row>
    <row r="139" spans="2:3" ht="320" x14ac:dyDescent="0.2">
      <c r="C139" s="5" t="s">
        <v>55</v>
      </c>
    </row>
    <row r="140" spans="2:3" x14ac:dyDescent="0.2">
      <c r="B140" s="6"/>
      <c r="C140" s="6"/>
    </row>
    <row r="141" spans="2:3" ht="16" x14ac:dyDescent="0.2">
      <c r="B141" s="4">
        <f>B138+1</f>
        <v>45</v>
      </c>
      <c r="C141" s="4" t="s">
        <v>17</v>
      </c>
    </row>
    <row r="142" spans="2:3" ht="48" x14ac:dyDescent="0.2">
      <c r="C142" s="5" t="s">
        <v>56</v>
      </c>
    </row>
    <row r="143" spans="2:3" x14ac:dyDescent="0.2">
      <c r="B143" s="6"/>
      <c r="C143" s="6"/>
    </row>
    <row r="144" spans="2:3" ht="16" x14ac:dyDescent="0.2">
      <c r="B144" s="4">
        <f>B141+1</f>
        <v>46</v>
      </c>
      <c r="C144" s="4" t="s">
        <v>57</v>
      </c>
    </row>
    <row r="145" spans="2:3" ht="335" x14ac:dyDescent="0.2">
      <c r="C145" s="5" t="s">
        <v>1143</v>
      </c>
    </row>
    <row r="146" spans="2:3" x14ac:dyDescent="0.2">
      <c r="B146" s="6"/>
      <c r="C146" s="6"/>
    </row>
    <row r="147" spans="2:3" ht="16" x14ac:dyDescent="0.2">
      <c r="B147" s="4">
        <f>B144+1</f>
        <v>47</v>
      </c>
      <c r="C147" s="4" t="s">
        <v>18</v>
      </c>
    </row>
    <row r="148" spans="2:3" ht="112" x14ac:dyDescent="0.2">
      <c r="C148" s="5" t="s">
        <v>58</v>
      </c>
    </row>
    <row r="149" spans="2:3" x14ac:dyDescent="0.2">
      <c r="B149" s="6"/>
      <c r="C149" s="6"/>
    </row>
    <row r="150" spans="2:3" s="4" customFormat="1" ht="16" x14ac:dyDescent="0.2">
      <c r="B150" s="4">
        <f>B147+1</f>
        <v>48</v>
      </c>
      <c r="C150" s="4" t="s">
        <v>59</v>
      </c>
    </row>
    <row r="151" spans="2:3" ht="128" x14ac:dyDescent="0.2">
      <c r="C151" s="5" t="s">
        <v>60</v>
      </c>
    </row>
    <row r="152" spans="2:3" x14ac:dyDescent="0.2">
      <c r="B152" s="6"/>
      <c r="C152" s="6"/>
    </row>
    <row r="153" spans="2:3" ht="16" x14ac:dyDescent="0.2">
      <c r="B153" s="4">
        <f>B150+1</f>
        <v>49</v>
      </c>
      <c r="C153" s="4" t="s">
        <v>61</v>
      </c>
    </row>
    <row r="154" spans="2:3" ht="32" x14ac:dyDescent="0.2">
      <c r="C154" s="5" t="s">
        <v>62</v>
      </c>
    </row>
    <row r="155" spans="2:3" x14ac:dyDescent="0.2">
      <c r="B155" s="6"/>
      <c r="C155" s="6"/>
    </row>
    <row r="156" spans="2:3" ht="16" x14ac:dyDescent="0.2">
      <c r="B156" s="4">
        <f>B153+1</f>
        <v>50</v>
      </c>
      <c r="C156" s="4" t="s">
        <v>63</v>
      </c>
    </row>
    <row r="157" spans="2:3" ht="96" x14ac:dyDescent="0.2">
      <c r="C157" s="5" t="s">
        <v>86</v>
      </c>
    </row>
    <row r="158" spans="2:3" x14ac:dyDescent="0.2">
      <c r="B158" s="6"/>
      <c r="C158" s="6"/>
    </row>
    <row r="159" spans="2:3" ht="16" x14ac:dyDescent="0.2">
      <c r="B159" s="4">
        <f>B156+1</f>
        <v>51</v>
      </c>
      <c r="C159" s="4" t="s">
        <v>91</v>
      </c>
    </row>
    <row r="160" spans="2:3" ht="224" x14ac:dyDescent="0.2">
      <c r="C160" s="5" t="s">
        <v>92</v>
      </c>
    </row>
    <row r="161" spans="2:3" x14ac:dyDescent="0.2">
      <c r="B161" s="6"/>
      <c r="C161" s="6"/>
    </row>
    <row r="162" spans="2:3" ht="16" x14ac:dyDescent="0.2">
      <c r="B162" s="4">
        <f>B159+1</f>
        <v>52</v>
      </c>
      <c r="C162" s="4" t="s">
        <v>64</v>
      </c>
    </row>
    <row r="163" spans="2:3" ht="96" x14ac:dyDescent="0.2">
      <c r="C163" s="5" t="s">
        <v>65</v>
      </c>
    </row>
    <row r="164" spans="2:3" x14ac:dyDescent="0.2">
      <c r="B164" s="6"/>
      <c r="C164" s="6"/>
    </row>
    <row r="165" spans="2:3" ht="16" x14ac:dyDescent="0.2">
      <c r="B165" s="4">
        <f>B162+1</f>
        <v>53</v>
      </c>
      <c r="C165" s="4" t="s">
        <v>66</v>
      </c>
    </row>
    <row r="166" spans="2:3" ht="96" x14ac:dyDescent="0.2">
      <c r="C166" s="5" t="s">
        <v>67</v>
      </c>
    </row>
    <row r="167" spans="2:3" x14ac:dyDescent="0.2">
      <c r="B167" s="6"/>
      <c r="C167" s="6"/>
    </row>
    <row r="168" spans="2:3" ht="16" x14ac:dyDescent="0.2">
      <c r="B168" s="4">
        <f>B165+1</f>
        <v>54</v>
      </c>
      <c r="C168" s="4" t="s">
        <v>68</v>
      </c>
    </row>
    <row r="169" spans="2:3" ht="96" x14ac:dyDescent="0.2">
      <c r="C169" s="5" t="s">
        <v>71</v>
      </c>
    </row>
    <row r="170" spans="2:3" x14ac:dyDescent="0.2">
      <c r="B170" s="6"/>
      <c r="C170" s="6"/>
    </row>
    <row r="171" spans="2:3" ht="16" x14ac:dyDescent="0.2">
      <c r="B171" s="4">
        <f>B168+1</f>
        <v>55</v>
      </c>
      <c r="C171" s="4" t="s">
        <v>72</v>
      </c>
    </row>
    <row r="172" spans="2:3" ht="48" x14ac:dyDescent="0.2">
      <c r="C172" s="5" t="s">
        <v>73</v>
      </c>
    </row>
    <row r="173" spans="2:3" x14ac:dyDescent="0.2">
      <c r="B173" s="6"/>
      <c r="C173" s="6"/>
    </row>
    <row r="174" spans="2:3" ht="16" x14ac:dyDescent="0.2">
      <c r="B174" s="4">
        <f>B171+1</f>
        <v>56</v>
      </c>
      <c r="C174" s="4" t="s">
        <v>74</v>
      </c>
    </row>
    <row r="175" spans="2:3" ht="32" x14ac:dyDescent="0.2">
      <c r="C175" s="5" t="s">
        <v>75</v>
      </c>
    </row>
    <row r="176" spans="2:3" x14ac:dyDescent="0.2">
      <c r="B176" s="6"/>
      <c r="C176" s="6"/>
    </row>
    <row r="177" spans="2:3" ht="16" x14ac:dyDescent="0.2">
      <c r="B177" s="4">
        <f>B174+1</f>
        <v>57</v>
      </c>
      <c r="C177" s="4" t="s">
        <v>76</v>
      </c>
    </row>
    <row r="178" spans="2:3" ht="176" x14ac:dyDescent="0.2">
      <c r="C178" s="5" t="s">
        <v>77</v>
      </c>
    </row>
    <row r="179" spans="2:3" x14ac:dyDescent="0.2">
      <c r="B179" s="6"/>
      <c r="C179" s="6"/>
    </row>
    <row r="180" spans="2:3" ht="16" x14ac:dyDescent="0.2">
      <c r="B180" s="4">
        <f>B177+1</f>
        <v>58</v>
      </c>
      <c r="C180" s="4" t="s">
        <v>78</v>
      </c>
    </row>
    <row r="181" spans="2:3" ht="128" x14ac:dyDescent="0.2">
      <c r="C181" s="5" t="s">
        <v>81</v>
      </c>
    </row>
    <row r="182" spans="2:3" x14ac:dyDescent="0.2">
      <c r="B182" s="6"/>
      <c r="C182" s="6"/>
    </row>
    <row r="183" spans="2:3" ht="16" x14ac:dyDescent="0.2">
      <c r="B183" s="4">
        <f>B180+1</f>
        <v>59</v>
      </c>
      <c r="C183" s="4" t="s">
        <v>79</v>
      </c>
    </row>
    <row r="184" spans="2:3" ht="208" x14ac:dyDescent="0.2">
      <c r="C184" s="5" t="s">
        <v>80</v>
      </c>
    </row>
    <row r="185" spans="2:3" x14ac:dyDescent="0.2">
      <c r="B185" s="6"/>
      <c r="C185" s="6"/>
    </row>
    <row r="186" spans="2:3" x14ac:dyDescent="0.2">
      <c r="B186" s="4">
        <f>B183+1</f>
        <v>60</v>
      </c>
      <c r="C186" s="2" t="s">
        <v>89</v>
      </c>
    </row>
    <row r="187" spans="2:3" ht="80" x14ac:dyDescent="0.2">
      <c r="C187" s="5" t="s">
        <v>90</v>
      </c>
    </row>
    <row r="188" spans="2:3" x14ac:dyDescent="0.2">
      <c r="B188" s="6"/>
      <c r="C188" s="6"/>
    </row>
    <row r="189" spans="2:3" ht="16" x14ac:dyDescent="0.2">
      <c r="B189" s="4">
        <f>B186+1</f>
        <v>61</v>
      </c>
      <c r="C189" s="4" t="s">
        <v>87</v>
      </c>
    </row>
    <row r="190" spans="2:3" ht="409" customHeight="1" x14ac:dyDescent="0.2">
      <c r="C190" s="5" t="s">
        <v>88</v>
      </c>
    </row>
    <row r="191" spans="2:3" x14ac:dyDescent="0.2">
      <c r="B191" s="6"/>
      <c r="C191" s="6"/>
    </row>
    <row r="192" spans="2:3" x14ac:dyDescent="0.2">
      <c r="B192" s="4">
        <f>B189+1</f>
        <v>62</v>
      </c>
      <c r="C192" s="2" t="s">
        <v>95</v>
      </c>
    </row>
    <row r="193" spans="2:3" ht="160" x14ac:dyDescent="0.2">
      <c r="C193" s="5" t="s">
        <v>96</v>
      </c>
    </row>
    <row r="194" spans="2:3" x14ac:dyDescent="0.2">
      <c r="B194" s="6"/>
      <c r="C194" s="6"/>
    </row>
    <row r="195" spans="2:3" x14ac:dyDescent="0.2">
      <c r="B195" s="4">
        <f>B192+1</f>
        <v>63</v>
      </c>
      <c r="C195" s="2" t="s">
        <v>93</v>
      </c>
    </row>
    <row r="196" spans="2:3" ht="48" x14ac:dyDescent="0.2">
      <c r="C196" s="3" t="s">
        <v>94</v>
      </c>
    </row>
    <row r="197" spans="2:3" x14ac:dyDescent="0.2">
      <c r="B197" s="6"/>
      <c r="C197" s="6"/>
    </row>
    <row r="198" spans="2:3" x14ac:dyDescent="0.2">
      <c r="B198" s="4">
        <f>B195+1</f>
        <v>64</v>
      </c>
      <c r="C198" s="2" t="s">
        <v>538</v>
      </c>
    </row>
    <row r="199" spans="2:3" ht="64" x14ac:dyDescent="0.2">
      <c r="C199" s="3" t="s">
        <v>539</v>
      </c>
    </row>
    <row r="200" spans="2:3" x14ac:dyDescent="0.2">
      <c r="B200" s="6"/>
      <c r="C200" s="6"/>
    </row>
    <row r="201" spans="2:3" x14ac:dyDescent="0.2">
      <c r="B201" s="4">
        <f>B198+1</f>
        <v>65</v>
      </c>
      <c r="C201" s="2" t="s">
        <v>538</v>
      </c>
    </row>
    <row r="202" spans="2:3" ht="48" x14ac:dyDescent="0.2">
      <c r="C202" s="3" t="s">
        <v>540</v>
      </c>
    </row>
    <row r="203" spans="2:3" x14ac:dyDescent="0.2">
      <c r="B203" s="6"/>
      <c r="C203" s="6"/>
    </row>
    <row r="204" spans="2:3" x14ac:dyDescent="0.2">
      <c r="B204" s="4">
        <f>B201+1</f>
        <v>66</v>
      </c>
      <c r="C204" s="2" t="s">
        <v>541</v>
      </c>
    </row>
    <row r="205" spans="2:3" ht="32" x14ac:dyDescent="0.2">
      <c r="C205" s="3" t="s">
        <v>542</v>
      </c>
    </row>
    <row r="206" spans="2:3" x14ac:dyDescent="0.2">
      <c r="B206" s="6"/>
      <c r="C206" s="6"/>
    </row>
    <row r="207" spans="2:3" x14ac:dyDescent="0.2">
      <c r="B207" s="4">
        <f>B204+1</f>
        <v>67</v>
      </c>
      <c r="C207" s="2" t="s">
        <v>1144</v>
      </c>
    </row>
    <row r="208" spans="2:3" ht="96" x14ac:dyDescent="0.2">
      <c r="C208" s="3" t="s">
        <v>1145</v>
      </c>
    </row>
    <row r="209" spans="2:3" x14ac:dyDescent="0.2">
      <c r="B209" s="6"/>
      <c r="C209" s="6"/>
    </row>
    <row r="210" spans="2:3" x14ac:dyDescent="0.2">
      <c r="B210" s="4">
        <f>B207+1</f>
        <v>68</v>
      </c>
      <c r="C210" s="2" t="s">
        <v>1146</v>
      </c>
    </row>
    <row r="211" spans="2:3" ht="80" x14ac:dyDescent="0.2">
      <c r="C211" s="3" t="s">
        <v>1147</v>
      </c>
    </row>
    <row r="212" spans="2:3" x14ac:dyDescent="0.2">
      <c r="B212" s="6"/>
      <c r="C212" s="6"/>
    </row>
    <row r="213" spans="2:3" x14ac:dyDescent="0.2">
      <c r="B213" s="4">
        <f>B210+1</f>
        <v>69</v>
      </c>
      <c r="C213" s="2" t="s">
        <v>1148</v>
      </c>
    </row>
    <row r="214" spans="2:3" ht="176" x14ac:dyDescent="0.2">
      <c r="C214" s="3" t="s">
        <v>1149</v>
      </c>
    </row>
    <row r="215" spans="2:3" x14ac:dyDescent="0.2">
      <c r="B215" s="6"/>
      <c r="C215" s="6"/>
    </row>
    <row r="216" spans="2:3" x14ac:dyDescent="0.2">
      <c r="B216" s="4">
        <f>B213+1</f>
        <v>70</v>
      </c>
      <c r="C216" s="2" t="s">
        <v>1150</v>
      </c>
    </row>
    <row r="217" spans="2:3" ht="128" x14ac:dyDescent="0.2">
      <c r="C217" s="3" t="s">
        <v>1151</v>
      </c>
    </row>
    <row r="218" spans="2:3" x14ac:dyDescent="0.2">
      <c r="B218" s="6"/>
      <c r="C218" s="6"/>
    </row>
    <row r="219" spans="2:3" x14ac:dyDescent="0.2">
      <c r="B219" s="4">
        <f>B216+1</f>
        <v>71</v>
      </c>
      <c r="C219" s="2" t="s">
        <v>1152</v>
      </c>
    </row>
    <row r="220" spans="2:3" ht="160" x14ac:dyDescent="0.2">
      <c r="C220" s="3" t="s">
        <v>1153</v>
      </c>
    </row>
    <row r="221" spans="2:3" x14ac:dyDescent="0.2">
      <c r="B221" s="6"/>
      <c r="C221" s="6"/>
    </row>
    <row r="222" spans="2:3" x14ac:dyDescent="0.2">
      <c r="B222" s="4">
        <f>B219+1</f>
        <v>72</v>
      </c>
      <c r="C222" s="2" t="s">
        <v>1154</v>
      </c>
    </row>
    <row r="223" spans="2:3" ht="48" x14ac:dyDescent="0.2">
      <c r="C223" s="3" t="s">
        <v>1155</v>
      </c>
    </row>
    <row r="224" spans="2:3" x14ac:dyDescent="0.2">
      <c r="B224" s="6"/>
      <c r="C224" s="6"/>
    </row>
    <row r="225" spans="2:3" x14ac:dyDescent="0.2">
      <c r="B225" s="4">
        <f>B222+1</f>
        <v>73</v>
      </c>
      <c r="C225" s="2" t="s">
        <v>1156</v>
      </c>
    </row>
    <row r="226" spans="2:3" ht="96" x14ac:dyDescent="0.2">
      <c r="C226" s="3" t="s">
        <v>1157</v>
      </c>
    </row>
    <row r="227" spans="2:3" x14ac:dyDescent="0.2">
      <c r="B227" s="6"/>
      <c r="C227" s="6"/>
    </row>
    <row r="228" spans="2:3" x14ac:dyDescent="0.2">
      <c r="B228" s="4">
        <f>B225+1</f>
        <v>74</v>
      </c>
      <c r="C228" s="2" t="s">
        <v>1158</v>
      </c>
    </row>
    <row r="229" spans="2:3" ht="80" x14ac:dyDescent="0.2">
      <c r="C229" s="3" t="s">
        <v>1159</v>
      </c>
    </row>
    <row r="230" spans="2:3" x14ac:dyDescent="0.2">
      <c r="B230" s="6"/>
      <c r="C230" s="6"/>
    </row>
    <row r="231" spans="2:3" x14ac:dyDescent="0.2">
      <c r="B231" s="4">
        <f>B228+1</f>
        <v>75</v>
      </c>
      <c r="C231" s="2" t="s">
        <v>1160</v>
      </c>
    </row>
    <row r="232" spans="2:3" ht="32" x14ac:dyDescent="0.2">
      <c r="C232" s="3" t="s">
        <v>1161</v>
      </c>
    </row>
    <row r="233" spans="2:3" x14ac:dyDescent="0.2">
      <c r="B233" s="6"/>
      <c r="C233" s="6"/>
    </row>
    <row r="234" spans="2:3" x14ac:dyDescent="0.2">
      <c r="B234" s="4">
        <f>B231+1</f>
        <v>76</v>
      </c>
      <c r="C234" s="2" t="s">
        <v>1162</v>
      </c>
    </row>
    <row r="235" spans="2:3" ht="96" x14ac:dyDescent="0.2">
      <c r="C235" s="3" t="s">
        <v>1163</v>
      </c>
    </row>
    <row r="236" spans="2:3" x14ac:dyDescent="0.2">
      <c r="B236" s="6"/>
      <c r="C236" s="6"/>
    </row>
    <row r="237" spans="2:3" x14ac:dyDescent="0.2">
      <c r="B237" s="4">
        <f>B234+1</f>
        <v>77</v>
      </c>
      <c r="C237" s="2" t="s">
        <v>1164</v>
      </c>
    </row>
    <row r="238" spans="2:3" ht="80" x14ac:dyDescent="0.2">
      <c r="C238" s="3" t="s">
        <v>1165</v>
      </c>
    </row>
    <row r="239" spans="2:3" x14ac:dyDescent="0.2">
      <c r="B239" s="6"/>
      <c r="C239" s="6"/>
    </row>
    <row r="240" spans="2:3" x14ac:dyDescent="0.2">
      <c r="B240" s="4">
        <f>B237+1</f>
        <v>78</v>
      </c>
      <c r="C240" s="2" t="s">
        <v>1166</v>
      </c>
    </row>
    <row r="241" spans="2:3" ht="96" x14ac:dyDescent="0.2">
      <c r="C241" s="3" t="s">
        <v>1167</v>
      </c>
    </row>
    <row r="242" spans="2:3" x14ac:dyDescent="0.2">
      <c r="B242" s="6"/>
      <c r="C242" s="6"/>
    </row>
    <row r="243" spans="2:3" x14ac:dyDescent="0.2">
      <c r="B243" s="4">
        <f>B240+1</f>
        <v>79</v>
      </c>
      <c r="C243" s="2" t="s">
        <v>1168</v>
      </c>
    </row>
    <row r="244" spans="2:3" ht="128" x14ac:dyDescent="0.2">
      <c r="C244" s="3" t="s">
        <v>1169</v>
      </c>
    </row>
    <row r="245" spans="2:3" x14ac:dyDescent="0.2">
      <c r="B245" s="6"/>
      <c r="C245" s="6"/>
    </row>
    <row r="246" spans="2:3" x14ac:dyDescent="0.2">
      <c r="B246" s="4">
        <f>B243+1</f>
        <v>80</v>
      </c>
      <c r="C246" s="2" t="s">
        <v>1170</v>
      </c>
    </row>
    <row r="247" spans="2:3" ht="32" x14ac:dyDescent="0.2">
      <c r="C247" s="3" t="s">
        <v>1171</v>
      </c>
    </row>
    <row r="248" spans="2:3" x14ac:dyDescent="0.2">
      <c r="B248" s="6"/>
      <c r="C248" s="6"/>
    </row>
    <row r="249" spans="2:3" x14ac:dyDescent="0.2">
      <c r="B249" s="4">
        <f>B246+1</f>
        <v>81</v>
      </c>
      <c r="C249" s="2" t="s">
        <v>1172</v>
      </c>
    </row>
    <row r="250" spans="2:3" ht="32" x14ac:dyDescent="0.2">
      <c r="C250" s="3" t="s">
        <v>1173</v>
      </c>
    </row>
    <row r="251" spans="2:3" x14ac:dyDescent="0.2">
      <c r="B251" s="6"/>
      <c r="C251" s="6"/>
    </row>
    <row r="252" spans="2:3" x14ac:dyDescent="0.2">
      <c r="B252" s="4">
        <f>B249+1</f>
        <v>82</v>
      </c>
      <c r="C252" s="2" t="s">
        <v>1174</v>
      </c>
    </row>
    <row r="253" spans="2:3" ht="32" x14ac:dyDescent="0.2">
      <c r="C253" s="3" t="s">
        <v>1175</v>
      </c>
    </row>
    <row r="254" spans="2:3" x14ac:dyDescent="0.2">
      <c r="B254" s="6"/>
      <c r="C254" s="6"/>
    </row>
    <row r="255" spans="2:3" x14ac:dyDescent="0.2">
      <c r="B255" s="4">
        <f>B252+1</f>
        <v>83</v>
      </c>
      <c r="C255" s="2" t="s">
        <v>1176</v>
      </c>
    </row>
    <row r="256" spans="2:3" ht="48" x14ac:dyDescent="0.2">
      <c r="C256" s="3" t="s">
        <v>1177</v>
      </c>
    </row>
    <row r="257" spans="2:3" x14ac:dyDescent="0.2">
      <c r="B257" s="6"/>
      <c r="C257" s="6"/>
    </row>
    <row r="258" spans="2:3" x14ac:dyDescent="0.2">
      <c r="B258" s="4">
        <f>B255+1</f>
        <v>84</v>
      </c>
      <c r="C258" s="2" t="s">
        <v>1178</v>
      </c>
    </row>
    <row r="259" spans="2:3" ht="32" x14ac:dyDescent="0.2">
      <c r="C259" s="1" t="s">
        <v>1179</v>
      </c>
    </row>
    <row r="260" spans="2:3" x14ac:dyDescent="0.2">
      <c r="B260" s="6"/>
      <c r="C260" s="6"/>
    </row>
    <row r="261" spans="2:3" x14ac:dyDescent="0.2">
      <c r="B261" s="4">
        <f>B258+1</f>
        <v>85</v>
      </c>
      <c r="C261" s="2" t="s">
        <v>1180</v>
      </c>
    </row>
    <row r="262" spans="2:3" ht="32" x14ac:dyDescent="0.2">
      <c r="C262" s="1" t="s">
        <v>1181</v>
      </c>
    </row>
    <row r="263" spans="2:3" x14ac:dyDescent="0.2">
      <c r="B263" s="6"/>
      <c r="C263" s="6"/>
    </row>
    <row r="264" spans="2:3" x14ac:dyDescent="0.2">
      <c r="B264" s="4">
        <f>B261+1</f>
        <v>86</v>
      </c>
      <c r="C264" s="2" t="s">
        <v>1182</v>
      </c>
    </row>
    <row r="265" spans="2:3" ht="64" x14ac:dyDescent="0.2">
      <c r="C265" s="107" t="s">
        <v>1183</v>
      </c>
    </row>
    <row r="266" spans="2:3" x14ac:dyDescent="0.2">
      <c r="B266" s="6"/>
      <c r="C266" s="6"/>
    </row>
    <row r="267" spans="2:3" x14ac:dyDescent="0.2">
      <c r="B267" s="4">
        <f>B264+1</f>
        <v>87</v>
      </c>
      <c r="C267" s="2" t="s">
        <v>1184</v>
      </c>
    </row>
    <row r="268" spans="2:3" ht="32" x14ac:dyDescent="0.2">
      <c r="C268" s="1" t="s">
        <v>1185</v>
      </c>
    </row>
    <row r="269" spans="2:3" x14ac:dyDescent="0.2">
      <c r="B269" s="6"/>
      <c r="C269" s="6"/>
    </row>
    <row r="270" spans="2:3" x14ac:dyDescent="0.2">
      <c r="B270" s="4">
        <f>B267+1</f>
        <v>88</v>
      </c>
      <c r="C270" s="2" t="s">
        <v>1186</v>
      </c>
    </row>
    <row r="271" spans="2:3" ht="176" x14ac:dyDescent="0.2">
      <c r="C271" s="3" t="s">
        <v>1187</v>
      </c>
    </row>
    <row r="272" spans="2:3" x14ac:dyDescent="0.2">
      <c r="B272" s="6"/>
      <c r="C272" s="6"/>
    </row>
    <row r="273" spans="2:3" x14ac:dyDescent="0.2">
      <c r="B273" s="4">
        <f>B270+1</f>
        <v>89</v>
      </c>
      <c r="C273" s="2" t="s">
        <v>1188</v>
      </c>
    </row>
    <row r="274" spans="2:3" ht="32" x14ac:dyDescent="0.2">
      <c r="C274" s="3" t="s">
        <v>1189</v>
      </c>
    </row>
    <row r="275" spans="2:3" x14ac:dyDescent="0.2">
      <c r="B275" s="6"/>
      <c r="C275" s="6"/>
    </row>
    <row r="276" spans="2:3" x14ac:dyDescent="0.2">
      <c r="B276" s="4">
        <f>B273+1</f>
        <v>90</v>
      </c>
      <c r="C276" s="2" t="s">
        <v>1190</v>
      </c>
    </row>
    <row r="277" spans="2:3" ht="32" x14ac:dyDescent="0.2">
      <c r="C277" s="1" t="s">
        <v>1191</v>
      </c>
    </row>
    <row r="278" spans="2:3" x14ac:dyDescent="0.2">
      <c r="B278" s="6"/>
      <c r="C278" s="6"/>
    </row>
    <row r="279" spans="2:3" x14ac:dyDescent="0.2">
      <c r="B279" s="4">
        <f>B276+1</f>
        <v>91</v>
      </c>
      <c r="C279" s="2" t="s">
        <v>1192</v>
      </c>
    </row>
    <row r="280" spans="2:3" ht="48" x14ac:dyDescent="0.2">
      <c r="C280" s="1" t="s">
        <v>1193</v>
      </c>
    </row>
    <row r="281" spans="2:3" x14ac:dyDescent="0.2">
      <c r="B281" s="6"/>
      <c r="C281" s="6"/>
    </row>
    <row r="282" spans="2:3" x14ac:dyDescent="0.2">
      <c r="B282" s="4">
        <f>B279+1</f>
        <v>92</v>
      </c>
      <c r="C282" s="2" t="s">
        <v>1194</v>
      </c>
    </row>
    <row r="283" spans="2:3" ht="32" x14ac:dyDescent="0.2">
      <c r="C283" s="1" t="s">
        <v>1195</v>
      </c>
    </row>
    <row r="284" spans="2:3" x14ac:dyDescent="0.2">
      <c r="B284" s="6"/>
      <c r="C284" s="6"/>
    </row>
    <row r="285" spans="2:3" x14ac:dyDescent="0.2">
      <c r="B285" s="4">
        <f>B282+1</f>
        <v>93</v>
      </c>
      <c r="C285" s="2" t="s">
        <v>1196</v>
      </c>
    </row>
    <row r="286" spans="2:3" ht="32" x14ac:dyDescent="0.2">
      <c r="C286" s="1" t="s">
        <v>1197</v>
      </c>
    </row>
    <row r="287" spans="2:3" x14ac:dyDescent="0.2">
      <c r="B287" s="6"/>
      <c r="C287" s="6"/>
    </row>
    <row r="288" spans="2:3" x14ac:dyDescent="0.2">
      <c r="B288" s="4">
        <f>B285+1</f>
        <v>94</v>
      </c>
      <c r="C288" s="2" t="s">
        <v>1198</v>
      </c>
    </row>
    <row r="289" spans="2:3" ht="93.75" customHeight="1" x14ac:dyDescent="0.2">
      <c r="C289" s="1" t="s">
        <v>1199</v>
      </c>
    </row>
    <row r="290" spans="2:3" x14ac:dyDescent="0.2">
      <c r="B290" s="6"/>
      <c r="C290" s="6"/>
    </row>
    <row r="291" spans="2:3" x14ac:dyDescent="0.2">
      <c r="B291" s="4">
        <f>B288+1</f>
        <v>95</v>
      </c>
      <c r="C291" s="2" t="s">
        <v>1200</v>
      </c>
    </row>
    <row r="292" spans="2:3" ht="96" x14ac:dyDescent="0.2">
      <c r="C292" s="1" t="s">
        <v>1201</v>
      </c>
    </row>
    <row r="293" spans="2:3" x14ac:dyDescent="0.2">
      <c r="B293" s="6"/>
      <c r="C293" s="6"/>
    </row>
    <row r="294" spans="2:3" x14ac:dyDescent="0.2">
      <c r="B294" s="4">
        <f>B291+1</f>
        <v>96</v>
      </c>
      <c r="C294" s="2" t="s">
        <v>1202</v>
      </c>
    </row>
    <row r="295" spans="2:3" ht="80" x14ac:dyDescent="0.2">
      <c r="C295" s="1" t="s">
        <v>1203</v>
      </c>
    </row>
    <row r="296" spans="2:3" x14ac:dyDescent="0.2">
      <c r="B296" s="6"/>
      <c r="C296" s="6"/>
    </row>
    <row r="297" spans="2:3" x14ac:dyDescent="0.2">
      <c r="B297" s="4">
        <f>B294+1</f>
        <v>97</v>
      </c>
      <c r="C297" s="2" t="s">
        <v>1204</v>
      </c>
    </row>
    <row r="298" spans="2:3" ht="112" x14ac:dyDescent="0.2">
      <c r="C298" s="1" t="s">
        <v>1205</v>
      </c>
    </row>
    <row r="299" spans="2:3" x14ac:dyDescent="0.2">
      <c r="B299" s="6"/>
      <c r="C299" s="6"/>
    </row>
    <row r="300" spans="2:3" x14ac:dyDescent="0.2">
      <c r="B300" s="4">
        <f>B297+1</f>
        <v>98</v>
      </c>
      <c r="C300" s="2" t="s">
        <v>1206</v>
      </c>
    </row>
    <row r="301" spans="2:3" ht="45.75" customHeight="1" x14ac:dyDescent="0.2">
      <c r="C301" s="1" t="s">
        <v>1207</v>
      </c>
    </row>
    <row r="302" spans="2:3" x14ac:dyDescent="0.2">
      <c r="B302" s="6"/>
      <c r="C302" s="6"/>
    </row>
    <row r="303" spans="2:3" x14ac:dyDescent="0.2">
      <c r="B303" s="4">
        <f>B300+1</f>
        <v>99</v>
      </c>
      <c r="C303" s="2"/>
    </row>
    <row r="304" spans="2:3" x14ac:dyDescent="0.2">
      <c r="C304" s="1"/>
    </row>
    <row r="305" spans="2:3" x14ac:dyDescent="0.2">
      <c r="B305" s="6"/>
      <c r="C305" s="6"/>
    </row>
    <row r="306" spans="2:3" x14ac:dyDescent="0.2">
      <c r="B306" s="4">
        <f>B303+1</f>
        <v>100</v>
      </c>
      <c r="C306" s="2"/>
    </row>
    <row r="307" spans="2:3" x14ac:dyDescent="0.2">
      <c r="C307" s="1"/>
    </row>
    <row r="308" spans="2:3" x14ac:dyDescent="0.2">
      <c r="B308" s="6"/>
      <c r="C308" s="6"/>
    </row>
  </sheetData>
  <autoFilter ref="A2:C211" xr:uid="{C1444B1F-42E5-4EB6-B0F6-9AFDB3AFC565}"/>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9DB37-96FB-4BF4-A4D2-1E73E4A45E24}">
  <dimension ref="B2:G34"/>
  <sheetViews>
    <sheetView topLeftCell="A27" zoomScale="134" zoomScaleNormal="100" workbookViewId="0">
      <selection activeCell="C10" sqref="C10"/>
    </sheetView>
  </sheetViews>
  <sheetFormatPr baseColWidth="10" defaultColWidth="8.83203125" defaultRowHeight="15" x14ac:dyDescent="0.2"/>
  <cols>
    <col min="1" max="1" width="2" customWidth="1"/>
    <col min="2" max="2" width="19" customWidth="1"/>
    <col min="3" max="3" width="31.5" customWidth="1"/>
    <col min="4" max="4" width="24" style="32" customWidth="1"/>
    <col min="5" max="5" width="25" customWidth="1"/>
    <col min="6" max="6" width="43.5" customWidth="1"/>
    <col min="7" max="7" width="39" customWidth="1"/>
  </cols>
  <sheetData>
    <row r="2" spans="2:7" ht="32" x14ac:dyDescent="0.2">
      <c r="B2" s="15" t="s">
        <v>160</v>
      </c>
      <c r="C2" s="16" t="s">
        <v>97</v>
      </c>
      <c r="D2" s="16" t="s">
        <v>98</v>
      </c>
      <c r="E2" s="16" t="s">
        <v>99</v>
      </c>
      <c r="F2" s="16" t="s">
        <v>100</v>
      </c>
      <c r="G2" s="17" t="s">
        <v>101</v>
      </c>
    </row>
    <row r="3" spans="2:7" ht="64" x14ac:dyDescent="0.2">
      <c r="B3" s="18">
        <v>1</v>
      </c>
      <c r="C3" s="20" t="s">
        <v>102</v>
      </c>
      <c r="D3" s="20" t="s">
        <v>103</v>
      </c>
      <c r="E3" s="20" t="s">
        <v>104</v>
      </c>
      <c r="F3" s="20" t="s">
        <v>105</v>
      </c>
      <c r="G3" s="23" t="s">
        <v>106</v>
      </c>
    </row>
    <row r="4" spans="2:7" ht="48" x14ac:dyDescent="0.2">
      <c r="B4" s="18">
        <v>2</v>
      </c>
      <c r="C4" s="20" t="s">
        <v>107</v>
      </c>
      <c r="D4" s="21">
        <v>5000</v>
      </c>
      <c r="E4" s="20" t="s">
        <v>108</v>
      </c>
      <c r="F4" s="20" t="s">
        <v>109</v>
      </c>
      <c r="G4" s="23" t="s">
        <v>110</v>
      </c>
    </row>
    <row r="5" spans="2:7" ht="64" x14ac:dyDescent="0.2">
      <c r="B5" s="18">
        <v>3</v>
      </c>
      <c r="C5" s="20" t="s">
        <v>111</v>
      </c>
      <c r="D5" s="20" t="s">
        <v>112</v>
      </c>
      <c r="E5" s="20" t="s">
        <v>113</v>
      </c>
      <c r="F5" s="20" t="s">
        <v>114</v>
      </c>
      <c r="G5" s="23" t="s">
        <v>115</v>
      </c>
    </row>
    <row r="6" spans="2:7" ht="48" x14ac:dyDescent="0.2">
      <c r="B6" s="18">
        <v>4</v>
      </c>
      <c r="C6" s="20" t="s">
        <v>116</v>
      </c>
      <c r="D6" s="20" t="s">
        <v>117</v>
      </c>
      <c r="E6" s="20" t="s">
        <v>118</v>
      </c>
      <c r="F6" s="20" t="s">
        <v>119</v>
      </c>
      <c r="G6" s="23" t="s">
        <v>120</v>
      </c>
    </row>
    <row r="7" spans="2:7" ht="32" x14ac:dyDescent="0.2">
      <c r="B7" s="18">
        <v>5</v>
      </c>
      <c r="C7" s="20" t="s">
        <v>121</v>
      </c>
      <c r="D7" s="21">
        <v>1000</v>
      </c>
      <c r="E7" s="20" t="s">
        <v>122</v>
      </c>
      <c r="F7" s="20" t="s">
        <v>123</v>
      </c>
      <c r="G7" s="23" t="s">
        <v>124</v>
      </c>
    </row>
    <row r="8" spans="2:7" ht="48" x14ac:dyDescent="0.2">
      <c r="B8" s="18">
        <v>6</v>
      </c>
      <c r="C8" s="20" t="s">
        <v>125</v>
      </c>
      <c r="D8" s="20" t="s">
        <v>126</v>
      </c>
      <c r="E8" s="20" t="s">
        <v>122</v>
      </c>
      <c r="F8" s="20" t="s">
        <v>127</v>
      </c>
      <c r="G8" s="23" t="s">
        <v>128</v>
      </c>
    </row>
    <row r="9" spans="2:7" ht="48" x14ac:dyDescent="0.2">
      <c r="B9" s="18">
        <v>7</v>
      </c>
      <c r="C9" s="20" t="s">
        <v>129</v>
      </c>
      <c r="D9" s="20" t="s">
        <v>126</v>
      </c>
      <c r="E9" s="20" t="s">
        <v>122</v>
      </c>
      <c r="F9" s="20" t="s">
        <v>130</v>
      </c>
      <c r="G9" s="23" t="s">
        <v>131</v>
      </c>
    </row>
    <row r="10" spans="2:7" ht="64" x14ac:dyDescent="0.2">
      <c r="B10" s="18">
        <v>8</v>
      </c>
      <c r="C10" s="20" t="s">
        <v>132</v>
      </c>
      <c r="D10" s="20" t="s">
        <v>133</v>
      </c>
      <c r="E10" s="20" t="s">
        <v>134</v>
      </c>
      <c r="F10" s="20" t="s">
        <v>135</v>
      </c>
      <c r="G10" s="23" t="s">
        <v>136</v>
      </c>
    </row>
    <row r="11" spans="2:7" ht="48" x14ac:dyDescent="0.2">
      <c r="B11" s="18">
        <v>9</v>
      </c>
      <c r="C11" s="20" t="s">
        <v>137</v>
      </c>
      <c r="D11" s="20" t="s">
        <v>138</v>
      </c>
      <c r="E11" s="20" t="s">
        <v>139</v>
      </c>
      <c r="F11" s="20" t="s">
        <v>140</v>
      </c>
      <c r="G11" s="23" t="s">
        <v>141</v>
      </c>
    </row>
    <row r="12" spans="2:7" ht="80" x14ac:dyDescent="0.2">
      <c r="B12" s="18">
        <v>10</v>
      </c>
      <c r="C12" s="20" t="s">
        <v>142</v>
      </c>
      <c r="D12" s="20" t="s">
        <v>143</v>
      </c>
      <c r="E12" s="20" t="s">
        <v>144</v>
      </c>
      <c r="F12" s="20" t="s">
        <v>145</v>
      </c>
      <c r="G12" s="23" t="s">
        <v>146</v>
      </c>
    </row>
    <row r="13" spans="2:7" ht="64" x14ac:dyDescent="0.2">
      <c r="B13" s="18">
        <v>11</v>
      </c>
      <c r="C13" s="20" t="s">
        <v>147</v>
      </c>
      <c r="D13" s="20" t="s">
        <v>148</v>
      </c>
      <c r="E13" s="20" t="s">
        <v>149</v>
      </c>
      <c r="F13" s="20" t="s">
        <v>150</v>
      </c>
      <c r="G13" s="23" t="s">
        <v>151</v>
      </c>
    </row>
    <row r="14" spans="2:7" ht="48" x14ac:dyDescent="0.2">
      <c r="B14" s="18">
        <v>12</v>
      </c>
      <c r="C14" s="20" t="s">
        <v>152</v>
      </c>
      <c r="D14" s="21">
        <v>20000</v>
      </c>
      <c r="E14" s="20" t="s">
        <v>153</v>
      </c>
      <c r="F14" s="20" t="s">
        <v>154</v>
      </c>
      <c r="G14" s="23" t="s">
        <v>155</v>
      </c>
    </row>
    <row r="15" spans="2:7" ht="64" x14ac:dyDescent="0.2">
      <c r="B15" s="19">
        <v>13</v>
      </c>
      <c r="C15" s="22" t="s">
        <v>156</v>
      </c>
      <c r="D15" s="22" t="s">
        <v>157</v>
      </c>
      <c r="E15" s="22" t="s">
        <v>122</v>
      </c>
      <c r="F15" s="22" t="s">
        <v>158</v>
      </c>
      <c r="G15" s="24" t="s">
        <v>159</v>
      </c>
    </row>
    <row r="18" spans="2:4" ht="19" x14ac:dyDescent="0.2">
      <c r="B18" s="14" t="s">
        <v>161</v>
      </c>
      <c r="D18" s="1"/>
    </row>
    <row r="19" spans="2:4" x14ac:dyDescent="0.2">
      <c r="D19" s="1"/>
    </row>
    <row r="20" spans="2:4" ht="16" x14ac:dyDescent="0.2">
      <c r="B20" s="12" t="s">
        <v>162</v>
      </c>
      <c r="C20" s="12" t="s">
        <v>163</v>
      </c>
      <c r="D20" s="26" t="s">
        <v>164</v>
      </c>
    </row>
    <row r="21" spans="2:4" ht="64" x14ac:dyDescent="0.2">
      <c r="B21" s="25" t="s">
        <v>165</v>
      </c>
      <c r="C21" s="13" t="s">
        <v>166</v>
      </c>
      <c r="D21" s="27" t="s">
        <v>167</v>
      </c>
    </row>
    <row r="22" spans="2:4" ht="48" x14ac:dyDescent="0.2">
      <c r="B22" s="13"/>
      <c r="C22" s="13" t="s">
        <v>168</v>
      </c>
      <c r="D22" s="28">
        <v>5000</v>
      </c>
    </row>
    <row r="23" spans="2:4" ht="48" x14ac:dyDescent="0.2">
      <c r="B23" s="25" t="s">
        <v>169</v>
      </c>
      <c r="C23" s="13" t="s">
        <v>170</v>
      </c>
      <c r="D23" s="27" t="s">
        <v>171</v>
      </c>
    </row>
    <row r="24" spans="2:4" ht="48" x14ac:dyDescent="0.2">
      <c r="B24" s="13"/>
      <c r="C24" s="13" t="s">
        <v>172</v>
      </c>
      <c r="D24" s="27" t="s">
        <v>173</v>
      </c>
    </row>
    <row r="25" spans="2:4" ht="48" x14ac:dyDescent="0.2">
      <c r="B25" s="25" t="s">
        <v>174</v>
      </c>
      <c r="C25" s="13" t="s">
        <v>175</v>
      </c>
      <c r="D25" s="28">
        <v>1000</v>
      </c>
    </row>
    <row r="26" spans="2:4" ht="48" x14ac:dyDescent="0.2">
      <c r="B26" s="13"/>
      <c r="C26" s="13" t="s">
        <v>176</v>
      </c>
      <c r="D26" s="27" t="s">
        <v>177</v>
      </c>
    </row>
    <row r="27" spans="2:4" ht="48" x14ac:dyDescent="0.2">
      <c r="B27" s="29" t="s">
        <v>178</v>
      </c>
      <c r="C27" s="30" t="s">
        <v>179</v>
      </c>
      <c r="D27" s="31" t="s">
        <v>177</v>
      </c>
    </row>
    <row r="28" spans="2:4" ht="32" x14ac:dyDescent="0.2">
      <c r="B28" s="30"/>
      <c r="C28" s="30" t="s">
        <v>180</v>
      </c>
      <c r="D28" s="31" t="s">
        <v>181</v>
      </c>
    </row>
    <row r="29" spans="2:4" ht="32" x14ac:dyDescent="0.2">
      <c r="B29" s="25" t="s">
        <v>182</v>
      </c>
      <c r="C29" s="13" t="s">
        <v>183</v>
      </c>
      <c r="D29" s="27" t="s">
        <v>184</v>
      </c>
    </row>
    <row r="30" spans="2:4" ht="48" x14ac:dyDescent="0.2">
      <c r="B30" s="29" t="s">
        <v>185</v>
      </c>
      <c r="C30" s="30" t="s">
        <v>186</v>
      </c>
      <c r="D30" s="31" t="s">
        <v>187</v>
      </c>
    </row>
    <row r="31" spans="2:4" ht="48" x14ac:dyDescent="0.2">
      <c r="B31" s="30"/>
      <c r="C31" s="30" t="s">
        <v>188</v>
      </c>
      <c r="D31" s="31" t="s">
        <v>189</v>
      </c>
    </row>
    <row r="32" spans="2:4" ht="32" x14ac:dyDescent="0.2">
      <c r="B32" s="25" t="s">
        <v>190</v>
      </c>
      <c r="C32" s="13" t="s">
        <v>191</v>
      </c>
      <c r="D32" s="28">
        <v>20000</v>
      </c>
    </row>
    <row r="33" spans="2:4" ht="48" x14ac:dyDescent="0.2">
      <c r="B33" s="25" t="s">
        <v>192</v>
      </c>
      <c r="C33" s="13" t="s">
        <v>193</v>
      </c>
      <c r="D33" s="27" t="s">
        <v>177</v>
      </c>
    </row>
    <row r="34" spans="2:4" ht="32" x14ac:dyDescent="0.2">
      <c r="B34" s="25" t="s">
        <v>239</v>
      </c>
      <c r="C34" s="13" t="s">
        <v>238</v>
      </c>
      <c r="D34" s="28">
        <v>10000</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996E5-B057-4EC7-A5DB-A9DE9E14AC72}">
  <dimension ref="B2:C1048576"/>
  <sheetViews>
    <sheetView topLeftCell="A26" zoomScale="145" zoomScaleNormal="145" workbookViewId="0">
      <selection activeCell="B393" sqref="B393"/>
    </sheetView>
  </sheetViews>
  <sheetFormatPr baseColWidth="10" defaultColWidth="8.83203125" defaultRowHeight="15" x14ac:dyDescent="0.2"/>
  <cols>
    <col min="1" max="1" width="2" customWidth="1"/>
    <col min="3" max="3" width="101.5" customWidth="1"/>
    <col min="4" max="4" width="58.33203125" customWidth="1"/>
  </cols>
  <sheetData>
    <row r="2" spans="2:3" x14ac:dyDescent="0.2">
      <c r="B2" t="s">
        <v>0</v>
      </c>
      <c r="C2" t="s">
        <v>1</v>
      </c>
    </row>
    <row r="3" spans="2:3" x14ac:dyDescent="0.2">
      <c r="B3">
        <v>1</v>
      </c>
      <c r="C3" t="s">
        <v>278</v>
      </c>
    </row>
    <row r="4" spans="2:3" x14ac:dyDescent="0.2">
      <c r="C4" t="s">
        <v>279</v>
      </c>
    </row>
    <row r="5" spans="2:3" x14ac:dyDescent="0.2">
      <c r="B5" s="54"/>
      <c r="C5" s="54"/>
    </row>
    <row r="6" spans="2:3" x14ac:dyDescent="0.2">
      <c r="B6">
        <f>B3+1</f>
        <v>2</v>
      </c>
      <c r="C6" t="s">
        <v>280</v>
      </c>
    </row>
    <row r="7" spans="2:3" ht="48" x14ac:dyDescent="0.2">
      <c r="C7" s="1" t="s">
        <v>281</v>
      </c>
    </row>
    <row r="8" spans="2:3" x14ac:dyDescent="0.2">
      <c r="B8" s="54"/>
      <c r="C8" s="54"/>
    </row>
    <row r="9" spans="2:3" x14ac:dyDescent="0.2">
      <c r="B9">
        <f>B6+1</f>
        <v>3</v>
      </c>
      <c r="C9" t="s">
        <v>359</v>
      </c>
    </row>
    <row r="10" spans="2:3" ht="64" x14ac:dyDescent="0.2">
      <c r="C10" s="1" t="s">
        <v>358</v>
      </c>
    </row>
    <row r="11" spans="2:3" x14ac:dyDescent="0.2">
      <c r="B11" s="54"/>
      <c r="C11" s="54"/>
    </row>
    <row r="12" spans="2:3" x14ac:dyDescent="0.2">
      <c r="B12">
        <f>B9+1</f>
        <v>4</v>
      </c>
      <c r="C12" t="s">
        <v>282</v>
      </c>
    </row>
    <row r="13" spans="2:3" ht="32" x14ac:dyDescent="0.2">
      <c r="C13" s="1" t="s">
        <v>283</v>
      </c>
    </row>
    <row r="14" spans="2:3" x14ac:dyDescent="0.2">
      <c r="B14" s="54"/>
      <c r="C14" s="54"/>
    </row>
    <row r="15" spans="2:3" x14ac:dyDescent="0.2">
      <c r="B15">
        <f>B12+1</f>
        <v>5</v>
      </c>
      <c r="C15" t="s">
        <v>360</v>
      </c>
    </row>
    <row r="16" spans="2:3" ht="64" x14ac:dyDescent="0.2">
      <c r="C16" s="3" t="s">
        <v>361</v>
      </c>
    </row>
    <row r="17" spans="2:3" x14ac:dyDescent="0.2">
      <c r="B17" s="54"/>
      <c r="C17" s="54"/>
    </row>
    <row r="18" spans="2:3" x14ac:dyDescent="0.2">
      <c r="B18">
        <f>B15+1</f>
        <v>6</v>
      </c>
      <c r="C18" t="s">
        <v>362</v>
      </c>
    </row>
    <row r="19" spans="2:3" ht="48" x14ac:dyDescent="0.2">
      <c r="C19" s="3" t="s">
        <v>363</v>
      </c>
    </row>
    <row r="20" spans="2:3" x14ac:dyDescent="0.2">
      <c r="B20" s="54"/>
      <c r="C20" s="54"/>
    </row>
    <row r="21" spans="2:3" x14ac:dyDescent="0.2">
      <c r="B21">
        <f>B18+1</f>
        <v>7</v>
      </c>
      <c r="C21" t="s">
        <v>364</v>
      </c>
    </row>
    <row r="22" spans="2:3" ht="80" x14ac:dyDescent="0.2">
      <c r="C22" s="3" t="s">
        <v>365</v>
      </c>
    </row>
    <row r="23" spans="2:3" x14ac:dyDescent="0.2">
      <c r="B23" s="54"/>
      <c r="C23" s="54"/>
    </row>
    <row r="24" spans="2:3" x14ac:dyDescent="0.2">
      <c r="B24">
        <f>B21+1</f>
        <v>8</v>
      </c>
      <c r="C24" t="s">
        <v>366</v>
      </c>
    </row>
    <row r="25" spans="2:3" ht="96" x14ac:dyDescent="0.2">
      <c r="C25" s="3" t="s">
        <v>367</v>
      </c>
    </row>
    <row r="26" spans="2:3" x14ac:dyDescent="0.2">
      <c r="B26" s="54"/>
      <c r="C26" s="54"/>
    </row>
    <row r="27" spans="2:3" x14ac:dyDescent="0.2">
      <c r="B27">
        <f>B24+1</f>
        <v>9</v>
      </c>
      <c r="C27" t="s">
        <v>368</v>
      </c>
    </row>
    <row r="28" spans="2:3" ht="80" x14ac:dyDescent="0.2">
      <c r="C28" s="3" t="s">
        <v>369</v>
      </c>
    </row>
    <row r="29" spans="2:3" x14ac:dyDescent="0.2">
      <c r="B29" s="54"/>
      <c r="C29" s="54"/>
    </row>
    <row r="30" spans="2:3" x14ac:dyDescent="0.2">
      <c r="B30">
        <f>B27+1</f>
        <v>10</v>
      </c>
      <c r="C30" t="s">
        <v>370</v>
      </c>
    </row>
    <row r="31" spans="2:3" ht="48" x14ac:dyDescent="0.2">
      <c r="C31" s="3" t="s">
        <v>371</v>
      </c>
    </row>
    <row r="32" spans="2:3" x14ac:dyDescent="0.2">
      <c r="B32" s="54"/>
      <c r="C32" s="54"/>
    </row>
    <row r="33" spans="2:3" x14ac:dyDescent="0.2">
      <c r="B33">
        <f>B30+1</f>
        <v>11</v>
      </c>
      <c r="C33" t="s">
        <v>364</v>
      </c>
    </row>
    <row r="34" spans="2:3" ht="80" x14ac:dyDescent="0.2">
      <c r="C34" s="3" t="s">
        <v>365</v>
      </c>
    </row>
    <row r="35" spans="2:3" x14ac:dyDescent="0.2">
      <c r="B35" s="54"/>
      <c r="C35" s="54"/>
    </row>
    <row r="36" spans="2:3" x14ac:dyDescent="0.2">
      <c r="B36">
        <f>B33+1</f>
        <v>12</v>
      </c>
      <c r="C36" t="s">
        <v>372</v>
      </c>
    </row>
    <row r="37" spans="2:3" ht="32" x14ac:dyDescent="0.2">
      <c r="C37" s="3" t="s">
        <v>373</v>
      </c>
    </row>
    <row r="38" spans="2:3" x14ac:dyDescent="0.2">
      <c r="B38" s="54"/>
      <c r="C38" s="54"/>
    </row>
    <row r="39" spans="2:3" x14ac:dyDescent="0.2">
      <c r="B39">
        <f>B36+1</f>
        <v>13</v>
      </c>
      <c r="C39" t="s">
        <v>374</v>
      </c>
    </row>
    <row r="40" spans="2:3" ht="32" x14ac:dyDescent="0.2">
      <c r="C40" s="3" t="s">
        <v>375</v>
      </c>
    </row>
    <row r="41" spans="2:3" x14ac:dyDescent="0.2">
      <c r="B41" s="54"/>
      <c r="C41" s="54"/>
    </row>
    <row r="42" spans="2:3" x14ac:dyDescent="0.2">
      <c r="B42">
        <f>B39+1</f>
        <v>14</v>
      </c>
      <c r="C42" t="s">
        <v>376</v>
      </c>
    </row>
    <row r="43" spans="2:3" ht="96" x14ac:dyDescent="0.2">
      <c r="C43" s="3" t="s">
        <v>537</v>
      </c>
    </row>
    <row r="44" spans="2:3" x14ac:dyDescent="0.2">
      <c r="B44" s="54"/>
      <c r="C44" s="54"/>
    </row>
    <row r="45" spans="2:3" x14ac:dyDescent="0.2">
      <c r="B45">
        <f>B42+1</f>
        <v>15</v>
      </c>
      <c r="C45" t="s">
        <v>377</v>
      </c>
    </row>
    <row r="46" spans="2:3" ht="16" x14ac:dyDescent="0.2">
      <c r="C46" s="3" t="s">
        <v>378</v>
      </c>
    </row>
    <row r="47" spans="2:3" x14ac:dyDescent="0.2">
      <c r="B47" s="54"/>
      <c r="C47" s="54"/>
    </row>
    <row r="48" spans="2:3" x14ac:dyDescent="0.2">
      <c r="B48">
        <f>B45+1</f>
        <v>16</v>
      </c>
      <c r="C48" t="s">
        <v>379</v>
      </c>
    </row>
    <row r="49" spans="2:3" ht="176" x14ac:dyDescent="0.2">
      <c r="C49" s="3" t="s">
        <v>380</v>
      </c>
    </row>
    <row r="50" spans="2:3" x14ac:dyDescent="0.2">
      <c r="B50" s="54"/>
      <c r="C50" s="54"/>
    </row>
    <row r="51" spans="2:3" x14ac:dyDescent="0.2">
      <c r="B51">
        <f>B48+1</f>
        <v>17</v>
      </c>
      <c r="C51" t="s">
        <v>381</v>
      </c>
    </row>
    <row r="52" spans="2:3" ht="64" x14ac:dyDescent="0.2">
      <c r="C52" s="3" t="s">
        <v>382</v>
      </c>
    </row>
    <row r="53" spans="2:3" x14ac:dyDescent="0.2">
      <c r="B53" s="54"/>
      <c r="C53" s="54"/>
    </row>
    <row r="54" spans="2:3" x14ac:dyDescent="0.2">
      <c r="B54">
        <f>B51+1</f>
        <v>18</v>
      </c>
      <c r="C54" t="s">
        <v>383</v>
      </c>
    </row>
    <row r="55" spans="2:3" ht="64" x14ac:dyDescent="0.2">
      <c r="C55" s="3" t="s">
        <v>384</v>
      </c>
    </row>
    <row r="56" spans="2:3" x14ac:dyDescent="0.2">
      <c r="B56" s="54"/>
      <c r="C56" s="54"/>
    </row>
    <row r="57" spans="2:3" x14ac:dyDescent="0.2">
      <c r="B57">
        <f>B54+1</f>
        <v>19</v>
      </c>
      <c r="C57" t="s">
        <v>385</v>
      </c>
    </row>
    <row r="58" spans="2:3" ht="48" x14ac:dyDescent="0.2">
      <c r="C58" s="3" t="s">
        <v>386</v>
      </c>
    </row>
    <row r="59" spans="2:3" x14ac:dyDescent="0.2">
      <c r="B59" s="54"/>
      <c r="C59" s="54"/>
    </row>
    <row r="60" spans="2:3" x14ac:dyDescent="0.2">
      <c r="B60">
        <f>B57+1</f>
        <v>20</v>
      </c>
      <c r="C60" t="s">
        <v>387</v>
      </c>
    </row>
    <row r="61" spans="2:3" ht="48" x14ac:dyDescent="0.2">
      <c r="C61" s="3" t="s">
        <v>388</v>
      </c>
    </row>
    <row r="62" spans="2:3" x14ac:dyDescent="0.2">
      <c r="B62" s="54"/>
      <c r="C62" s="54"/>
    </row>
    <row r="63" spans="2:3" x14ac:dyDescent="0.2">
      <c r="B63">
        <f>B60+1</f>
        <v>21</v>
      </c>
      <c r="C63" t="s">
        <v>389</v>
      </c>
    </row>
    <row r="64" spans="2:3" ht="64" x14ac:dyDescent="0.2">
      <c r="C64" s="3" t="s">
        <v>390</v>
      </c>
    </row>
    <row r="65" spans="2:3" x14ac:dyDescent="0.2">
      <c r="B65" s="54"/>
      <c r="C65" s="54"/>
    </row>
    <row r="66" spans="2:3" x14ac:dyDescent="0.2">
      <c r="B66">
        <f>B63+1</f>
        <v>22</v>
      </c>
      <c r="C66" t="s">
        <v>391</v>
      </c>
    </row>
    <row r="67" spans="2:3" ht="32" x14ac:dyDescent="0.2">
      <c r="C67" s="3" t="s">
        <v>392</v>
      </c>
    </row>
    <row r="68" spans="2:3" x14ac:dyDescent="0.2">
      <c r="B68" s="54"/>
      <c r="C68" s="54"/>
    </row>
    <row r="69" spans="2:3" x14ac:dyDescent="0.2">
      <c r="B69">
        <f>B66+1</f>
        <v>23</v>
      </c>
      <c r="C69" t="s">
        <v>393</v>
      </c>
    </row>
    <row r="70" spans="2:3" ht="32" x14ac:dyDescent="0.2">
      <c r="C70" s="3" t="s">
        <v>394</v>
      </c>
    </row>
    <row r="71" spans="2:3" x14ac:dyDescent="0.2">
      <c r="B71" s="54"/>
      <c r="C71" s="54"/>
    </row>
    <row r="72" spans="2:3" x14ac:dyDescent="0.2">
      <c r="B72">
        <f>B69+1</f>
        <v>24</v>
      </c>
      <c r="C72" t="s">
        <v>395</v>
      </c>
    </row>
    <row r="73" spans="2:3" ht="240" x14ac:dyDescent="0.2">
      <c r="C73" s="3" t="s">
        <v>396</v>
      </c>
    </row>
    <row r="74" spans="2:3" x14ac:dyDescent="0.2">
      <c r="B74" s="54"/>
      <c r="C74" s="54"/>
    </row>
    <row r="75" spans="2:3" x14ac:dyDescent="0.2">
      <c r="B75">
        <f>B72+1</f>
        <v>25</v>
      </c>
      <c r="C75" t="s">
        <v>377</v>
      </c>
    </row>
    <row r="76" spans="2:3" ht="16" x14ac:dyDescent="0.2">
      <c r="C76" s="3" t="s">
        <v>378</v>
      </c>
    </row>
    <row r="77" spans="2:3" x14ac:dyDescent="0.2">
      <c r="B77" s="54"/>
      <c r="C77" s="54"/>
    </row>
    <row r="78" spans="2:3" x14ac:dyDescent="0.2">
      <c r="B78">
        <f>B75+1</f>
        <v>26</v>
      </c>
      <c r="C78" t="s">
        <v>284</v>
      </c>
    </row>
    <row r="79" spans="2:3" ht="144" x14ac:dyDescent="0.2">
      <c r="C79" s="1" t="s">
        <v>285</v>
      </c>
    </row>
    <row r="80" spans="2:3" x14ac:dyDescent="0.2">
      <c r="B80" s="54"/>
      <c r="C80" s="54"/>
    </row>
    <row r="81" spans="2:3" x14ac:dyDescent="0.2">
      <c r="B81">
        <f>B78+1</f>
        <v>27</v>
      </c>
      <c r="C81" t="s">
        <v>287</v>
      </c>
    </row>
    <row r="82" spans="2:3" ht="112" x14ac:dyDescent="0.2">
      <c r="C82" s="1" t="s">
        <v>286</v>
      </c>
    </row>
    <row r="83" spans="2:3" x14ac:dyDescent="0.2">
      <c r="B83" s="54"/>
      <c r="C83" s="54"/>
    </row>
    <row r="84" spans="2:3" x14ac:dyDescent="0.2">
      <c r="B84">
        <f>B81+1</f>
        <v>28</v>
      </c>
      <c r="C84" t="s">
        <v>288</v>
      </c>
    </row>
    <row r="85" spans="2:3" ht="48" x14ac:dyDescent="0.2">
      <c r="C85" s="1" t="s">
        <v>289</v>
      </c>
    </row>
    <row r="86" spans="2:3" x14ac:dyDescent="0.2">
      <c r="B86" s="54"/>
      <c r="C86" s="54"/>
    </row>
    <row r="87" spans="2:3" x14ac:dyDescent="0.2">
      <c r="B87">
        <f>B84+1</f>
        <v>29</v>
      </c>
      <c r="C87" t="s">
        <v>290</v>
      </c>
    </row>
    <row r="88" spans="2:3" ht="32" x14ac:dyDescent="0.2">
      <c r="C88" s="1" t="s">
        <v>291</v>
      </c>
    </row>
    <row r="89" spans="2:3" x14ac:dyDescent="0.2">
      <c r="B89" s="54"/>
      <c r="C89" s="54"/>
    </row>
    <row r="90" spans="2:3" x14ac:dyDescent="0.2">
      <c r="B90">
        <f>B87+1</f>
        <v>30</v>
      </c>
      <c r="C90" t="s">
        <v>292</v>
      </c>
    </row>
    <row r="91" spans="2:3" ht="32" x14ac:dyDescent="0.2">
      <c r="C91" s="1" t="s">
        <v>293</v>
      </c>
    </row>
    <row r="92" spans="2:3" x14ac:dyDescent="0.2">
      <c r="B92" s="54"/>
      <c r="C92" s="54"/>
    </row>
    <row r="93" spans="2:3" x14ac:dyDescent="0.2">
      <c r="B93">
        <f>B90+1</f>
        <v>31</v>
      </c>
      <c r="C93" t="s">
        <v>294</v>
      </c>
    </row>
    <row r="94" spans="2:3" ht="32" x14ac:dyDescent="0.2">
      <c r="C94" s="1" t="s">
        <v>295</v>
      </c>
    </row>
    <row r="95" spans="2:3" x14ac:dyDescent="0.2">
      <c r="B95" s="54"/>
      <c r="C95" s="54"/>
    </row>
    <row r="96" spans="2:3" x14ac:dyDescent="0.2">
      <c r="B96">
        <f>B93+1</f>
        <v>32</v>
      </c>
      <c r="C96" t="s">
        <v>297</v>
      </c>
    </row>
    <row r="97" spans="2:3" ht="192" x14ac:dyDescent="0.2">
      <c r="C97" s="1" t="s">
        <v>298</v>
      </c>
    </row>
    <row r="98" spans="2:3" x14ac:dyDescent="0.2">
      <c r="B98" s="54"/>
      <c r="C98" s="54"/>
    </row>
    <row r="99" spans="2:3" x14ac:dyDescent="0.2">
      <c r="B99">
        <f>B96+1</f>
        <v>33</v>
      </c>
      <c r="C99" t="s">
        <v>288</v>
      </c>
    </row>
    <row r="100" spans="2:3" ht="176" x14ac:dyDescent="0.2">
      <c r="C100" s="1" t="s">
        <v>296</v>
      </c>
    </row>
    <row r="101" spans="2:3" x14ac:dyDescent="0.2">
      <c r="B101" s="54"/>
      <c r="C101" s="54"/>
    </row>
    <row r="102" spans="2:3" x14ac:dyDescent="0.2">
      <c r="B102">
        <f>B99+1</f>
        <v>34</v>
      </c>
      <c r="C102" t="s">
        <v>336</v>
      </c>
    </row>
    <row r="103" spans="2:3" ht="64" x14ac:dyDescent="0.2">
      <c r="C103" s="1" t="s">
        <v>337</v>
      </c>
    </row>
    <row r="104" spans="2:3" x14ac:dyDescent="0.2">
      <c r="B104" s="54"/>
      <c r="C104" s="54"/>
    </row>
    <row r="105" spans="2:3" x14ac:dyDescent="0.2">
      <c r="B105">
        <f>B102+1</f>
        <v>35</v>
      </c>
      <c r="C105" t="s">
        <v>338</v>
      </c>
    </row>
    <row r="106" spans="2:3" ht="48" x14ac:dyDescent="0.2">
      <c r="C106" s="1" t="s">
        <v>339</v>
      </c>
    </row>
    <row r="107" spans="2:3" x14ac:dyDescent="0.2">
      <c r="B107" s="54"/>
      <c r="C107" s="54"/>
    </row>
    <row r="108" spans="2:3" x14ac:dyDescent="0.2">
      <c r="B108">
        <f>B105+1</f>
        <v>36</v>
      </c>
      <c r="C108" t="s">
        <v>340</v>
      </c>
    </row>
    <row r="109" spans="2:3" ht="48" x14ac:dyDescent="0.2">
      <c r="C109" s="1" t="s">
        <v>341</v>
      </c>
    </row>
    <row r="110" spans="2:3" x14ac:dyDescent="0.2">
      <c r="B110" s="54"/>
      <c r="C110" s="54"/>
    </row>
    <row r="111" spans="2:3" x14ac:dyDescent="0.2">
      <c r="B111">
        <f>B108+1</f>
        <v>37</v>
      </c>
      <c r="C111" t="s">
        <v>342</v>
      </c>
    </row>
    <row r="112" spans="2:3" ht="32" x14ac:dyDescent="0.2">
      <c r="C112" s="1" t="s">
        <v>343</v>
      </c>
    </row>
    <row r="113" spans="2:3" x14ac:dyDescent="0.2">
      <c r="B113" s="54"/>
      <c r="C113" s="54"/>
    </row>
    <row r="114" spans="2:3" x14ac:dyDescent="0.2">
      <c r="B114">
        <f>B111+1</f>
        <v>38</v>
      </c>
      <c r="C114" t="s">
        <v>344</v>
      </c>
    </row>
    <row r="115" spans="2:3" ht="32" x14ac:dyDescent="0.2">
      <c r="C115" s="1" t="s">
        <v>345</v>
      </c>
    </row>
    <row r="116" spans="2:3" x14ac:dyDescent="0.2">
      <c r="B116" s="54"/>
      <c r="C116" s="54"/>
    </row>
    <row r="117" spans="2:3" x14ac:dyDescent="0.2">
      <c r="B117">
        <f>B114+1</f>
        <v>39</v>
      </c>
      <c r="C117" t="s">
        <v>346</v>
      </c>
    </row>
    <row r="118" spans="2:3" ht="48" x14ac:dyDescent="0.2">
      <c r="C118" s="1" t="s">
        <v>347</v>
      </c>
    </row>
    <row r="119" spans="2:3" x14ac:dyDescent="0.2">
      <c r="B119" s="54"/>
      <c r="C119" s="54"/>
    </row>
    <row r="120" spans="2:3" ht="32" x14ac:dyDescent="0.2">
      <c r="B120" s="2">
        <f>B117+1</f>
        <v>40</v>
      </c>
      <c r="C120" s="55" t="s">
        <v>348</v>
      </c>
    </row>
    <row r="121" spans="2:3" ht="64" x14ac:dyDescent="0.2">
      <c r="C121" s="3" t="s">
        <v>349</v>
      </c>
    </row>
    <row r="122" spans="2:3" x14ac:dyDescent="0.2">
      <c r="B122" s="54"/>
      <c r="C122" s="54"/>
    </row>
    <row r="123" spans="2:3" ht="32" x14ac:dyDescent="0.2">
      <c r="B123" s="2">
        <f>B120+1</f>
        <v>41</v>
      </c>
      <c r="C123" s="55" t="s">
        <v>350</v>
      </c>
    </row>
    <row r="124" spans="2:3" ht="48" x14ac:dyDescent="0.2">
      <c r="C124" s="3" t="s">
        <v>351</v>
      </c>
    </row>
    <row r="125" spans="2:3" x14ac:dyDescent="0.2">
      <c r="B125" s="54"/>
      <c r="C125" s="54"/>
    </row>
    <row r="126" spans="2:3" x14ac:dyDescent="0.2">
      <c r="B126">
        <f>B108+1</f>
        <v>37</v>
      </c>
      <c r="C126" t="s">
        <v>352</v>
      </c>
    </row>
    <row r="127" spans="2:3" ht="64" x14ac:dyDescent="0.2">
      <c r="C127" s="1" t="s">
        <v>353</v>
      </c>
    </row>
    <row r="128" spans="2:3" x14ac:dyDescent="0.2">
      <c r="B128" s="54"/>
      <c r="C128" s="54"/>
    </row>
    <row r="129" spans="2:3" x14ac:dyDescent="0.2">
      <c r="B129">
        <f>B111+1</f>
        <v>38</v>
      </c>
      <c r="C129" t="s">
        <v>354</v>
      </c>
    </row>
    <row r="130" spans="2:3" ht="48" x14ac:dyDescent="0.2">
      <c r="C130" s="1" t="s">
        <v>355</v>
      </c>
    </row>
    <row r="131" spans="2:3" x14ac:dyDescent="0.2">
      <c r="B131" s="54"/>
      <c r="C131" s="54"/>
    </row>
    <row r="132" spans="2:3" x14ac:dyDescent="0.2">
      <c r="B132" s="2">
        <f>B114+1</f>
        <v>39</v>
      </c>
      <c r="C132" s="2" t="s">
        <v>356</v>
      </c>
    </row>
    <row r="133" spans="2:3" ht="96" x14ac:dyDescent="0.2">
      <c r="C133" s="1" t="s">
        <v>357</v>
      </c>
    </row>
    <row r="134" spans="2:3" x14ac:dyDescent="0.2">
      <c r="B134" s="54"/>
      <c r="C134" s="54"/>
    </row>
    <row r="135" spans="2:3" x14ac:dyDescent="0.2">
      <c r="B135">
        <f>B117+1</f>
        <v>40</v>
      </c>
      <c r="C135" t="s">
        <v>340</v>
      </c>
    </row>
    <row r="136" spans="2:3" ht="48" x14ac:dyDescent="0.2">
      <c r="C136" s="1" t="s">
        <v>341</v>
      </c>
    </row>
    <row r="137" spans="2:3" x14ac:dyDescent="0.2">
      <c r="B137" s="54"/>
      <c r="C137" s="54"/>
    </row>
    <row r="138" spans="2:3" x14ac:dyDescent="0.2">
      <c r="B138">
        <f>B120+1</f>
        <v>41</v>
      </c>
      <c r="C138" t="s">
        <v>340</v>
      </c>
    </row>
    <row r="139" spans="2:3" ht="48" x14ac:dyDescent="0.2">
      <c r="C139" s="1" t="s">
        <v>341</v>
      </c>
    </row>
    <row r="140" spans="2:3" x14ac:dyDescent="0.2">
      <c r="B140" s="54"/>
      <c r="C140" s="54"/>
    </row>
    <row r="141" spans="2:3" x14ac:dyDescent="0.2">
      <c r="B141">
        <f>B123+1</f>
        <v>42</v>
      </c>
      <c r="C141" t="s">
        <v>340</v>
      </c>
    </row>
    <row r="142" spans="2:3" ht="48" x14ac:dyDescent="0.2">
      <c r="C142" s="1" t="s">
        <v>341</v>
      </c>
    </row>
    <row r="143" spans="2:3" x14ac:dyDescent="0.2">
      <c r="B143" s="54"/>
      <c r="C143" s="54"/>
    </row>
    <row r="144" spans="2:3" x14ac:dyDescent="0.2">
      <c r="B144">
        <f>B141+1</f>
        <v>43</v>
      </c>
      <c r="C144" t="s">
        <v>274</v>
      </c>
    </row>
    <row r="145" spans="2:3" ht="112" x14ac:dyDescent="0.2">
      <c r="C145" s="1" t="s">
        <v>275</v>
      </c>
    </row>
    <row r="146" spans="2:3" x14ac:dyDescent="0.2">
      <c r="B146" s="54"/>
      <c r="C146" s="54"/>
    </row>
    <row r="147" spans="2:3" x14ac:dyDescent="0.2">
      <c r="B147">
        <f>B144+1</f>
        <v>44</v>
      </c>
      <c r="C147" t="s">
        <v>276</v>
      </c>
    </row>
    <row r="148" spans="2:3" ht="80" x14ac:dyDescent="0.2">
      <c r="C148" s="53" t="s">
        <v>277</v>
      </c>
    </row>
    <row r="149" spans="2:3" x14ac:dyDescent="0.2">
      <c r="B149" s="54"/>
      <c r="C149" s="54"/>
    </row>
    <row r="150" spans="2:3" x14ac:dyDescent="0.2">
      <c r="B150">
        <f>B147+1</f>
        <v>45</v>
      </c>
      <c r="C150" t="s">
        <v>969</v>
      </c>
    </row>
    <row r="151" spans="2:3" ht="224" x14ac:dyDescent="0.2">
      <c r="C151" s="1" t="s">
        <v>970</v>
      </c>
    </row>
    <row r="153" spans="2:3" x14ac:dyDescent="0.2">
      <c r="B153">
        <f>B150+1</f>
        <v>46</v>
      </c>
      <c r="C153" t="s">
        <v>971</v>
      </c>
    </row>
    <row r="154" spans="2:3" ht="112" x14ac:dyDescent="0.2">
      <c r="C154" s="1" t="s">
        <v>972</v>
      </c>
    </row>
    <row r="156" spans="2:3" ht="96" x14ac:dyDescent="0.2">
      <c r="C156" s="1" t="s">
        <v>973</v>
      </c>
    </row>
    <row r="158" spans="2:3" ht="128" x14ac:dyDescent="0.2">
      <c r="C158" s="1" t="s">
        <v>974</v>
      </c>
    </row>
    <row r="160" spans="2:3" x14ac:dyDescent="0.2">
      <c r="B160" s="2">
        <v>47</v>
      </c>
      <c r="C160" s="2" t="s">
        <v>976</v>
      </c>
    </row>
    <row r="161" spans="2:3" ht="256" x14ac:dyDescent="0.2">
      <c r="C161" s="1" t="s">
        <v>975</v>
      </c>
    </row>
    <row r="163" spans="2:3" x14ac:dyDescent="0.2">
      <c r="B163">
        <v>48</v>
      </c>
      <c r="C163" t="s">
        <v>977</v>
      </c>
    </row>
    <row r="164" spans="2:3" ht="272" x14ac:dyDescent="0.2">
      <c r="C164" s="1" t="s">
        <v>978</v>
      </c>
    </row>
    <row r="166" spans="2:3" x14ac:dyDescent="0.2">
      <c r="B166">
        <v>49</v>
      </c>
      <c r="C166" t="s">
        <v>979</v>
      </c>
    </row>
    <row r="167" spans="2:3" x14ac:dyDescent="0.2">
      <c r="C167" t="s">
        <v>980</v>
      </c>
    </row>
    <row r="169" spans="2:3" x14ac:dyDescent="0.2">
      <c r="B169">
        <v>50</v>
      </c>
      <c r="C169" t="s">
        <v>981</v>
      </c>
    </row>
    <row r="170" spans="2:3" ht="64" x14ac:dyDescent="0.2">
      <c r="C170" s="1" t="s">
        <v>982</v>
      </c>
    </row>
    <row r="172" spans="2:3" x14ac:dyDescent="0.2">
      <c r="B172">
        <v>51</v>
      </c>
      <c r="C172" t="s">
        <v>983</v>
      </c>
    </row>
    <row r="173" spans="2:3" ht="48" x14ac:dyDescent="0.2">
      <c r="C173" s="1" t="s">
        <v>984</v>
      </c>
    </row>
    <row r="175" spans="2:3" x14ac:dyDescent="0.2">
      <c r="B175" s="2">
        <v>52</v>
      </c>
      <c r="C175" s="2" t="s">
        <v>985</v>
      </c>
    </row>
    <row r="176" spans="2:3" ht="96" x14ac:dyDescent="0.2">
      <c r="C176" s="1" t="s">
        <v>986</v>
      </c>
    </row>
    <row r="178" spans="2:3" x14ac:dyDescent="0.2">
      <c r="B178">
        <v>53</v>
      </c>
      <c r="C178" t="s">
        <v>987</v>
      </c>
    </row>
    <row r="179" spans="2:3" x14ac:dyDescent="0.2">
      <c r="C179" t="s">
        <v>988</v>
      </c>
    </row>
    <row r="181" spans="2:3" x14ac:dyDescent="0.2">
      <c r="B181" s="2">
        <v>54</v>
      </c>
      <c r="C181" s="2" t="s">
        <v>989</v>
      </c>
    </row>
    <row r="182" spans="2:3" ht="80" x14ac:dyDescent="0.2">
      <c r="C182" s="1" t="s">
        <v>990</v>
      </c>
    </row>
    <row r="184" spans="2:3" x14ac:dyDescent="0.2">
      <c r="B184">
        <v>55</v>
      </c>
      <c r="C184" t="s">
        <v>991</v>
      </c>
    </row>
    <row r="185" spans="2:3" ht="64" x14ac:dyDescent="0.2">
      <c r="C185" s="1" t="s">
        <v>992</v>
      </c>
    </row>
    <row r="187" spans="2:3" x14ac:dyDescent="0.2">
      <c r="B187">
        <v>56</v>
      </c>
      <c r="C187" t="s">
        <v>993</v>
      </c>
    </row>
    <row r="188" spans="2:3" ht="32" x14ac:dyDescent="0.2">
      <c r="C188" s="1" t="s">
        <v>994</v>
      </c>
    </row>
    <row r="190" spans="2:3" x14ac:dyDescent="0.2">
      <c r="B190">
        <v>57</v>
      </c>
      <c r="C190" t="s">
        <v>995</v>
      </c>
    </row>
    <row r="191" spans="2:3" ht="80" x14ac:dyDescent="0.2">
      <c r="C191" s="1" t="s">
        <v>996</v>
      </c>
    </row>
    <row r="193" spans="2:3" x14ac:dyDescent="0.2">
      <c r="B193">
        <v>58</v>
      </c>
      <c r="C193" t="s">
        <v>997</v>
      </c>
    </row>
    <row r="194" spans="2:3" ht="80" x14ac:dyDescent="0.2">
      <c r="C194" s="1" t="s">
        <v>998</v>
      </c>
    </row>
    <row r="196" spans="2:3" x14ac:dyDescent="0.2">
      <c r="B196">
        <v>59</v>
      </c>
      <c r="C196" t="s">
        <v>999</v>
      </c>
    </row>
    <row r="197" spans="2:3" ht="32" x14ac:dyDescent="0.2">
      <c r="C197" s="1" t="s">
        <v>1000</v>
      </c>
    </row>
    <row r="199" spans="2:3" x14ac:dyDescent="0.2">
      <c r="B199">
        <v>60</v>
      </c>
      <c r="C199" t="s">
        <v>1001</v>
      </c>
    </row>
    <row r="200" spans="2:3" ht="32" x14ac:dyDescent="0.2">
      <c r="C200" s="1" t="s">
        <v>1002</v>
      </c>
    </row>
    <row r="202" spans="2:3" x14ac:dyDescent="0.2">
      <c r="B202">
        <v>61</v>
      </c>
      <c r="C202" t="s">
        <v>1003</v>
      </c>
    </row>
    <row r="203" spans="2:3" ht="64" x14ac:dyDescent="0.2">
      <c r="C203" s="1" t="s">
        <v>1004</v>
      </c>
    </row>
    <row r="205" spans="2:3" x14ac:dyDescent="0.2">
      <c r="B205">
        <v>62</v>
      </c>
      <c r="C205" t="s">
        <v>1005</v>
      </c>
    </row>
    <row r="206" spans="2:3" ht="80" x14ac:dyDescent="0.2">
      <c r="C206" s="1" t="s">
        <v>1008</v>
      </c>
    </row>
    <row r="208" spans="2:3" x14ac:dyDescent="0.2">
      <c r="B208">
        <v>63</v>
      </c>
      <c r="C208" t="s">
        <v>1006</v>
      </c>
    </row>
    <row r="209" spans="2:3" ht="32" x14ac:dyDescent="0.2">
      <c r="C209" s="1" t="s">
        <v>1007</v>
      </c>
    </row>
    <row r="211" spans="2:3" x14ac:dyDescent="0.2">
      <c r="B211">
        <v>64</v>
      </c>
      <c r="C211" t="s">
        <v>1009</v>
      </c>
    </row>
    <row r="212" spans="2:3" ht="128" x14ac:dyDescent="0.2">
      <c r="C212" s="1" t="s">
        <v>1010</v>
      </c>
    </row>
    <row r="214" spans="2:3" x14ac:dyDescent="0.2">
      <c r="B214">
        <v>65</v>
      </c>
      <c r="C214" t="s">
        <v>1011</v>
      </c>
    </row>
    <row r="215" spans="2:3" ht="64" x14ac:dyDescent="0.2">
      <c r="C215" s="1" t="s">
        <v>1012</v>
      </c>
    </row>
    <row r="217" spans="2:3" x14ac:dyDescent="0.2">
      <c r="B217">
        <v>66</v>
      </c>
      <c r="C217" t="s">
        <v>1013</v>
      </c>
    </row>
    <row r="218" spans="2:3" ht="48" x14ac:dyDescent="0.2">
      <c r="C218" s="1" t="s">
        <v>1014</v>
      </c>
    </row>
    <row r="220" spans="2:3" x14ac:dyDescent="0.2">
      <c r="B220">
        <v>67</v>
      </c>
      <c r="C220" t="s">
        <v>1015</v>
      </c>
    </row>
    <row r="221" spans="2:3" ht="64" x14ac:dyDescent="0.2">
      <c r="C221" s="1" t="s">
        <v>1016</v>
      </c>
    </row>
    <row r="223" spans="2:3" x14ac:dyDescent="0.2">
      <c r="B223">
        <v>68</v>
      </c>
      <c r="C223" t="s">
        <v>1017</v>
      </c>
    </row>
    <row r="224" spans="2:3" ht="96" x14ac:dyDescent="0.2">
      <c r="C224" s="1" t="s">
        <v>1018</v>
      </c>
    </row>
    <row r="226" spans="2:3" x14ac:dyDescent="0.2">
      <c r="B226">
        <v>69</v>
      </c>
      <c r="C226" t="s">
        <v>1019</v>
      </c>
    </row>
    <row r="227" spans="2:3" ht="32" x14ac:dyDescent="0.2">
      <c r="C227" s="1" t="s">
        <v>1020</v>
      </c>
    </row>
    <row r="229" spans="2:3" x14ac:dyDescent="0.2">
      <c r="B229">
        <v>70</v>
      </c>
      <c r="C229" t="s">
        <v>1021</v>
      </c>
    </row>
    <row r="230" spans="2:3" ht="32" x14ac:dyDescent="0.2">
      <c r="C230" s="1" t="s">
        <v>1022</v>
      </c>
    </row>
    <row r="231" spans="2:3" x14ac:dyDescent="0.2">
      <c r="C231" s="1"/>
    </row>
    <row r="232" spans="2:3" ht="17" x14ac:dyDescent="0.2">
      <c r="C232" s="80" t="s">
        <v>1023</v>
      </c>
    </row>
    <row r="233" spans="2:3" x14ac:dyDescent="0.2">
      <c r="C233" s="1"/>
    </row>
    <row r="234" spans="2:3" ht="16" x14ac:dyDescent="0.2">
      <c r="C234" s="1" t="s">
        <v>1024</v>
      </c>
    </row>
    <row r="235" spans="2:3" x14ac:dyDescent="0.2">
      <c r="C235" s="60"/>
    </row>
    <row r="236" spans="2:3" ht="16" x14ac:dyDescent="0.2">
      <c r="C236" s="61" t="s">
        <v>1025</v>
      </c>
    </row>
    <row r="237" spans="2:3" ht="16" x14ac:dyDescent="0.2">
      <c r="C237" s="61" t="s">
        <v>1026</v>
      </c>
    </row>
    <row r="238" spans="2:3" ht="16" x14ac:dyDescent="0.2">
      <c r="C238" s="61" t="s">
        <v>1027</v>
      </c>
    </row>
    <row r="239" spans="2:3" ht="16" x14ac:dyDescent="0.2">
      <c r="C239" s="61" t="s">
        <v>1028</v>
      </c>
    </row>
    <row r="240" spans="2:3" x14ac:dyDescent="0.2">
      <c r="C240" s="1"/>
    </row>
    <row r="241" spans="3:3" ht="17" x14ac:dyDescent="0.2">
      <c r="C241" s="80" t="s">
        <v>1029</v>
      </c>
    </row>
    <row r="242" spans="3:3" x14ac:dyDescent="0.2">
      <c r="C242" s="60"/>
    </row>
    <row r="243" spans="3:3" ht="32" x14ac:dyDescent="0.2">
      <c r="C243" s="60" t="s">
        <v>1030</v>
      </c>
    </row>
    <row r="244" spans="3:3" ht="16" x14ac:dyDescent="0.2">
      <c r="C244" s="60" t="s">
        <v>1031</v>
      </c>
    </row>
    <row r="245" spans="3:3" ht="16" x14ac:dyDescent="0.2">
      <c r="C245" s="60" t="s">
        <v>1032</v>
      </c>
    </row>
    <row r="246" spans="3:3" ht="16" x14ac:dyDescent="0.2">
      <c r="C246" s="60" t="s">
        <v>1033</v>
      </c>
    </row>
    <row r="247" spans="3:3" ht="16" x14ac:dyDescent="0.2">
      <c r="C247" s="60" t="s">
        <v>1034</v>
      </c>
    </row>
    <row r="248" spans="3:3" ht="16" x14ac:dyDescent="0.2">
      <c r="C248" s="60" t="s">
        <v>1035</v>
      </c>
    </row>
    <row r="249" spans="3:3" x14ac:dyDescent="0.2">
      <c r="C249" s="1"/>
    </row>
    <row r="250" spans="3:3" ht="17" x14ac:dyDescent="0.2">
      <c r="C250" s="80" t="s">
        <v>1036</v>
      </c>
    </row>
    <row r="251" spans="3:3" x14ac:dyDescent="0.2">
      <c r="C251" s="60"/>
    </row>
    <row r="252" spans="3:3" ht="16" x14ac:dyDescent="0.2">
      <c r="C252" s="60" t="s">
        <v>1037</v>
      </c>
    </row>
    <row r="253" spans="3:3" ht="16" x14ac:dyDescent="0.2">
      <c r="C253" s="60" t="s">
        <v>1038</v>
      </c>
    </row>
    <row r="254" spans="3:3" x14ac:dyDescent="0.2">
      <c r="C254" s="1"/>
    </row>
    <row r="255" spans="3:3" ht="17" x14ac:dyDescent="0.2">
      <c r="C255" s="80" t="s">
        <v>1039</v>
      </c>
    </row>
    <row r="256" spans="3:3" x14ac:dyDescent="0.2">
      <c r="C256" s="60"/>
    </row>
    <row r="257" spans="2:3" ht="32" x14ac:dyDescent="0.2">
      <c r="C257" s="60" t="s">
        <v>1040</v>
      </c>
    </row>
    <row r="258" spans="2:3" ht="16" x14ac:dyDescent="0.2">
      <c r="C258" s="60" t="s">
        <v>1041</v>
      </c>
    </row>
    <row r="259" spans="2:3" x14ac:dyDescent="0.2">
      <c r="C259" s="1"/>
    </row>
    <row r="260" spans="2:3" ht="17" x14ac:dyDescent="0.2">
      <c r="C260" s="80" t="s">
        <v>1042</v>
      </c>
    </row>
    <row r="261" spans="2:3" x14ac:dyDescent="0.2">
      <c r="C261" s="60"/>
    </row>
    <row r="262" spans="2:3" ht="32" x14ac:dyDescent="0.2">
      <c r="C262" s="60" t="s">
        <v>1043</v>
      </c>
    </row>
    <row r="263" spans="2:3" ht="16" x14ac:dyDescent="0.2">
      <c r="C263" s="60" t="s">
        <v>1044</v>
      </c>
    </row>
    <row r="265" spans="2:3" x14ac:dyDescent="0.2">
      <c r="B265">
        <v>71</v>
      </c>
      <c r="C265" t="s">
        <v>1045</v>
      </c>
    </row>
    <row r="266" spans="2:3" ht="96" x14ac:dyDescent="0.2">
      <c r="C266" s="1" t="s">
        <v>1046</v>
      </c>
    </row>
    <row r="268" spans="2:3" x14ac:dyDescent="0.2">
      <c r="B268">
        <v>72</v>
      </c>
      <c r="C268" t="s">
        <v>1047</v>
      </c>
    </row>
    <row r="269" spans="2:3" ht="80" x14ac:dyDescent="0.2">
      <c r="C269" s="1" t="s">
        <v>1048</v>
      </c>
    </row>
    <row r="271" spans="2:3" ht="16" x14ac:dyDescent="0.2">
      <c r="B271">
        <v>72</v>
      </c>
      <c r="C271" s="105" t="s">
        <v>1049</v>
      </c>
    </row>
    <row r="272" spans="2:3" ht="64" x14ac:dyDescent="0.2">
      <c r="C272" s="1" t="s">
        <v>1050</v>
      </c>
    </row>
    <row r="274" spans="2:3" x14ac:dyDescent="0.2">
      <c r="B274">
        <v>73</v>
      </c>
      <c r="C274" t="s">
        <v>1051</v>
      </c>
    </row>
    <row r="275" spans="2:3" ht="64" x14ac:dyDescent="0.2">
      <c r="C275" s="98" t="s">
        <v>1052</v>
      </c>
    </row>
    <row r="276" spans="2:3" x14ac:dyDescent="0.2">
      <c r="C276" s="57"/>
    </row>
    <row r="277" spans="2:3" x14ac:dyDescent="0.2">
      <c r="B277">
        <v>74</v>
      </c>
      <c r="C277" t="s">
        <v>1053</v>
      </c>
    </row>
    <row r="278" spans="2:3" ht="32" x14ac:dyDescent="0.2">
      <c r="C278" s="1" t="s">
        <v>1054</v>
      </c>
    </row>
    <row r="280" spans="2:3" x14ac:dyDescent="0.2">
      <c r="B280">
        <v>75</v>
      </c>
      <c r="C280" t="s">
        <v>1055</v>
      </c>
    </row>
    <row r="281" spans="2:3" ht="80" x14ac:dyDescent="0.2">
      <c r="C281" s="1" t="s">
        <v>1056</v>
      </c>
    </row>
    <row r="283" spans="2:3" x14ac:dyDescent="0.2">
      <c r="B283">
        <v>76</v>
      </c>
      <c r="C283" t="s">
        <v>1057</v>
      </c>
    </row>
    <row r="284" spans="2:3" ht="32" x14ac:dyDescent="0.2">
      <c r="C284" s="1" t="s">
        <v>1058</v>
      </c>
    </row>
    <row r="286" spans="2:3" x14ac:dyDescent="0.2">
      <c r="B286">
        <v>77</v>
      </c>
      <c r="C286" t="s">
        <v>1059</v>
      </c>
    </row>
    <row r="287" spans="2:3" ht="32" x14ac:dyDescent="0.2">
      <c r="C287" s="1" t="s">
        <v>1060</v>
      </c>
    </row>
    <row r="289" spans="2:3" x14ac:dyDescent="0.2">
      <c r="B289">
        <v>78</v>
      </c>
      <c r="C289" t="s">
        <v>1061</v>
      </c>
    </row>
    <row r="290" spans="2:3" ht="32" x14ac:dyDescent="0.2">
      <c r="C290" s="1" t="s">
        <v>1062</v>
      </c>
    </row>
    <row r="292" spans="2:3" x14ac:dyDescent="0.2">
      <c r="B292">
        <v>79</v>
      </c>
      <c r="C292" t="s">
        <v>1063</v>
      </c>
    </row>
    <row r="293" spans="2:3" ht="96" x14ac:dyDescent="0.2">
      <c r="C293" s="1" t="s">
        <v>1064</v>
      </c>
    </row>
    <row r="295" spans="2:3" x14ac:dyDescent="0.2">
      <c r="B295" s="2">
        <v>80</v>
      </c>
      <c r="C295" s="2" t="s">
        <v>1065</v>
      </c>
    </row>
    <row r="296" spans="2:3" ht="32" x14ac:dyDescent="0.2">
      <c r="C296" s="1" t="s">
        <v>1066</v>
      </c>
    </row>
    <row r="298" spans="2:3" x14ac:dyDescent="0.2">
      <c r="B298" s="2">
        <v>81</v>
      </c>
      <c r="C298" s="2" t="s">
        <v>1067</v>
      </c>
    </row>
    <row r="299" spans="2:3" ht="80" x14ac:dyDescent="0.2">
      <c r="C299" s="1" t="s">
        <v>1068</v>
      </c>
    </row>
    <row r="301" spans="2:3" x14ac:dyDescent="0.2">
      <c r="B301">
        <v>82</v>
      </c>
      <c r="C301" s="2" t="s">
        <v>1069</v>
      </c>
    </row>
    <row r="302" spans="2:3" ht="32" x14ac:dyDescent="0.2">
      <c r="C302" s="1" t="s">
        <v>1070</v>
      </c>
    </row>
    <row r="304" spans="2:3" x14ac:dyDescent="0.2">
      <c r="B304">
        <v>83</v>
      </c>
      <c r="C304" t="s">
        <v>1071</v>
      </c>
    </row>
    <row r="305" spans="2:3" ht="32" x14ac:dyDescent="0.2">
      <c r="C305" s="1" t="s">
        <v>1072</v>
      </c>
    </row>
    <row r="307" spans="2:3" x14ac:dyDescent="0.2">
      <c r="B307">
        <v>84</v>
      </c>
      <c r="C307" t="s">
        <v>1073</v>
      </c>
    </row>
    <row r="308" spans="2:3" ht="32" x14ac:dyDescent="0.2">
      <c r="C308" s="1" t="s">
        <v>1074</v>
      </c>
    </row>
    <row r="310" spans="2:3" x14ac:dyDescent="0.2">
      <c r="B310">
        <v>85</v>
      </c>
      <c r="C310" t="s">
        <v>1075</v>
      </c>
    </row>
    <row r="311" spans="2:3" ht="32" x14ac:dyDescent="0.2">
      <c r="C311" s="1" t="s">
        <v>1076</v>
      </c>
    </row>
    <row r="313" spans="2:3" x14ac:dyDescent="0.2">
      <c r="B313">
        <v>86</v>
      </c>
      <c r="C313" t="s">
        <v>1077</v>
      </c>
    </row>
    <row r="314" spans="2:3" ht="80" x14ac:dyDescent="0.2">
      <c r="C314" s="1" t="s">
        <v>1078</v>
      </c>
    </row>
    <row r="316" spans="2:3" x14ac:dyDescent="0.2">
      <c r="B316">
        <v>87</v>
      </c>
      <c r="C316" t="s">
        <v>1079</v>
      </c>
    </row>
    <row r="317" spans="2:3" ht="48" x14ac:dyDescent="0.2">
      <c r="C317" s="1" t="s">
        <v>1080</v>
      </c>
    </row>
    <row r="319" spans="2:3" x14ac:dyDescent="0.2">
      <c r="B319">
        <v>88</v>
      </c>
      <c r="C319" t="s">
        <v>1081</v>
      </c>
    </row>
    <row r="320" spans="2:3" ht="80" x14ac:dyDescent="0.2">
      <c r="C320" s="1" t="s">
        <v>1082</v>
      </c>
    </row>
    <row r="322" spans="2:3" x14ac:dyDescent="0.2">
      <c r="B322">
        <v>89</v>
      </c>
      <c r="C322" t="s">
        <v>1083</v>
      </c>
    </row>
    <row r="323" spans="2:3" ht="32" x14ac:dyDescent="0.2">
      <c r="C323" s="1" t="s">
        <v>1084</v>
      </c>
    </row>
    <row r="325" spans="2:3" x14ac:dyDescent="0.2">
      <c r="B325">
        <v>90</v>
      </c>
      <c r="C325" t="s">
        <v>1085</v>
      </c>
    </row>
    <row r="326" spans="2:3" ht="48" x14ac:dyDescent="0.2">
      <c r="C326" s="1" t="s">
        <v>1086</v>
      </c>
    </row>
    <row r="328" spans="2:3" x14ac:dyDescent="0.2">
      <c r="B328">
        <v>91</v>
      </c>
      <c r="C328" t="s">
        <v>1087</v>
      </c>
    </row>
    <row r="329" spans="2:3" ht="48" x14ac:dyDescent="0.2">
      <c r="C329" s="1" t="s">
        <v>1088</v>
      </c>
    </row>
    <row r="331" spans="2:3" x14ac:dyDescent="0.2">
      <c r="B331">
        <v>92</v>
      </c>
      <c r="C331" t="s">
        <v>1089</v>
      </c>
    </row>
    <row r="332" spans="2:3" ht="64" x14ac:dyDescent="0.2">
      <c r="C332" s="1" t="s">
        <v>1090</v>
      </c>
    </row>
    <row r="334" spans="2:3" x14ac:dyDescent="0.2">
      <c r="B334">
        <v>93</v>
      </c>
      <c r="C334" t="s">
        <v>1091</v>
      </c>
    </row>
    <row r="335" spans="2:3" ht="160" x14ac:dyDescent="0.2">
      <c r="C335" s="1" t="s">
        <v>1092</v>
      </c>
    </row>
    <row r="337" spans="2:3" x14ac:dyDescent="0.2">
      <c r="B337">
        <v>94</v>
      </c>
      <c r="C337" t="s">
        <v>1093</v>
      </c>
    </row>
    <row r="338" spans="2:3" ht="48" x14ac:dyDescent="0.2">
      <c r="C338" s="1" t="s">
        <v>1094</v>
      </c>
    </row>
    <row r="340" spans="2:3" x14ac:dyDescent="0.2">
      <c r="B340">
        <v>95</v>
      </c>
      <c r="C340" t="s">
        <v>1095</v>
      </c>
    </row>
    <row r="341" spans="2:3" ht="144" x14ac:dyDescent="0.2">
      <c r="C341" s="1" t="s">
        <v>1096</v>
      </c>
    </row>
    <row r="343" spans="2:3" x14ac:dyDescent="0.2">
      <c r="B343">
        <v>96</v>
      </c>
      <c r="C343" t="s">
        <v>1097</v>
      </c>
    </row>
    <row r="344" spans="2:3" ht="112" x14ac:dyDescent="0.2">
      <c r="C344" s="1" t="s">
        <v>1098</v>
      </c>
    </row>
    <row r="346" spans="2:3" x14ac:dyDescent="0.2">
      <c r="B346">
        <v>97</v>
      </c>
      <c r="C346" t="s">
        <v>1099</v>
      </c>
    </row>
    <row r="347" spans="2:3" x14ac:dyDescent="0.2">
      <c r="C347" s="2" t="s">
        <v>1100</v>
      </c>
    </row>
    <row r="348" spans="2:3" x14ac:dyDescent="0.2">
      <c r="C348" s="56"/>
    </row>
    <row r="349" spans="2:3" x14ac:dyDescent="0.2">
      <c r="C349" s="56" t="s">
        <v>1101</v>
      </c>
    </row>
    <row r="350" spans="2:3" x14ac:dyDescent="0.2">
      <c r="C350" s="56" t="s">
        <v>1102</v>
      </c>
    </row>
    <row r="352" spans="2:3" x14ac:dyDescent="0.2">
      <c r="C352" s="2" t="s">
        <v>1103</v>
      </c>
    </row>
    <row r="353" spans="2:3" x14ac:dyDescent="0.2">
      <c r="C353" s="56"/>
    </row>
    <row r="354" spans="2:3" x14ac:dyDescent="0.2">
      <c r="C354" s="57" t="s">
        <v>1104</v>
      </c>
    </row>
    <row r="356" spans="2:3" x14ac:dyDescent="0.2">
      <c r="B356">
        <v>98</v>
      </c>
      <c r="C356" t="s">
        <v>1105</v>
      </c>
    </row>
    <row r="357" spans="2:3" ht="32" x14ac:dyDescent="0.2">
      <c r="C357" s="1" t="s">
        <v>1106</v>
      </c>
    </row>
    <row r="359" spans="2:3" x14ac:dyDescent="0.2">
      <c r="B359">
        <v>99</v>
      </c>
      <c r="C359" t="s">
        <v>1107</v>
      </c>
    </row>
    <row r="360" spans="2:3" ht="176" x14ac:dyDescent="0.2">
      <c r="C360" s="1" t="s">
        <v>1108</v>
      </c>
    </row>
    <row r="362" spans="2:3" x14ac:dyDescent="0.2">
      <c r="B362" s="2">
        <v>100</v>
      </c>
      <c r="C362" s="2" t="s">
        <v>1109</v>
      </c>
    </row>
    <row r="363" spans="2:3" x14ac:dyDescent="0.2">
      <c r="C363" t="s">
        <v>1110</v>
      </c>
    </row>
    <row r="365" spans="2:3" x14ac:dyDescent="0.2">
      <c r="B365" s="2">
        <v>101</v>
      </c>
      <c r="C365" s="2" t="s">
        <v>1111</v>
      </c>
    </row>
    <row r="366" spans="2:3" ht="80" x14ac:dyDescent="0.2">
      <c r="C366" s="1" t="s">
        <v>1112</v>
      </c>
    </row>
    <row r="368" spans="2:3" x14ac:dyDescent="0.2">
      <c r="B368" s="2">
        <v>102</v>
      </c>
      <c r="C368" s="2" t="s">
        <v>1113</v>
      </c>
    </row>
    <row r="369" spans="2:3" ht="32" x14ac:dyDescent="0.2">
      <c r="C369" s="1" t="s">
        <v>1114</v>
      </c>
    </row>
    <row r="371" spans="2:3" x14ac:dyDescent="0.2">
      <c r="B371" s="2">
        <v>103</v>
      </c>
      <c r="C371" s="2" t="s">
        <v>1115</v>
      </c>
    </row>
    <row r="372" spans="2:3" ht="32" x14ac:dyDescent="0.2">
      <c r="C372" s="1" t="s">
        <v>1116</v>
      </c>
    </row>
    <row r="374" spans="2:3" x14ac:dyDescent="0.2">
      <c r="B374" s="2">
        <v>104</v>
      </c>
      <c r="C374" s="2" t="s">
        <v>1117</v>
      </c>
    </row>
    <row r="375" spans="2:3" ht="32" x14ac:dyDescent="0.2">
      <c r="C375" s="1" t="s">
        <v>1118</v>
      </c>
    </row>
    <row r="377" spans="2:3" x14ac:dyDescent="0.2">
      <c r="B377" s="2">
        <v>105</v>
      </c>
      <c r="C377" s="2" t="s">
        <v>1119</v>
      </c>
    </row>
    <row r="378" spans="2:3" ht="48" x14ac:dyDescent="0.2">
      <c r="C378" s="1" t="s">
        <v>1120</v>
      </c>
    </row>
    <row r="380" spans="2:3" x14ac:dyDescent="0.2">
      <c r="B380" s="2">
        <v>106</v>
      </c>
      <c r="C380" s="2" t="s">
        <v>1121</v>
      </c>
    </row>
    <row r="381" spans="2:3" ht="80" x14ac:dyDescent="0.2">
      <c r="C381" s="1" t="s">
        <v>1122</v>
      </c>
    </row>
    <row r="383" spans="2:3" x14ac:dyDescent="0.2">
      <c r="B383" s="2">
        <v>107</v>
      </c>
      <c r="C383" s="2" t="s">
        <v>1123</v>
      </c>
    </row>
    <row r="384" spans="2:3" ht="80" x14ac:dyDescent="0.2">
      <c r="C384" s="1" t="s">
        <v>1124</v>
      </c>
    </row>
    <row r="386" spans="2:3" x14ac:dyDescent="0.2">
      <c r="B386" s="2">
        <v>108</v>
      </c>
      <c r="C386" s="2" t="s">
        <v>1125</v>
      </c>
    </row>
    <row r="387" spans="2:3" ht="32" x14ac:dyDescent="0.2">
      <c r="C387" s="1" t="s">
        <v>1126</v>
      </c>
    </row>
    <row r="389" spans="2:3" x14ac:dyDescent="0.2">
      <c r="B389">
        <v>109</v>
      </c>
      <c r="C389" t="s">
        <v>1127</v>
      </c>
    </row>
    <row r="390" spans="2:3" x14ac:dyDescent="0.2">
      <c r="C390" t="s">
        <v>1128</v>
      </c>
    </row>
    <row r="392" spans="2:3" x14ac:dyDescent="0.2">
      <c r="B392">
        <v>110</v>
      </c>
      <c r="C392" t="s">
        <v>1129</v>
      </c>
    </row>
    <row r="393" spans="2:3" ht="96" x14ac:dyDescent="0.2">
      <c r="C393" s="1" t="s">
        <v>1130</v>
      </c>
    </row>
    <row r="1048576" spans="3:3" x14ac:dyDescent="0.2">
      <c r="C1048576" t="s">
        <v>1128</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FD5A7-5E37-4432-B750-F7F40E57E61D}">
  <dimension ref="C3:C68"/>
  <sheetViews>
    <sheetView tabSelected="1" zoomScale="175" zoomScaleNormal="175" workbookViewId="0">
      <selection activeCell="C36" sqref="C36:C38"/>
    </sheetView>
  </sheetViews>
  <sheetFormatPr baseColWidth="10" defaultColWidth="8.83203125" defaultRowHeight="15" x14ac:dyDescent="0.2"/>
  <cols>
    <col min="3" max="3" width="132.33203125" bestFit="1" customWidth="1"/>
  </cols>
  <sheetData>
    <row r="3" spans="3:3" x14ac:dyDescent="0.2">
      <c r="C3" s="76"/>
    </row>
    <row r="4" spans="3:3" x14ac:dyDescent="0.2">
      <c r="C4" s="76"/>
    </row>
    <row r="5" spans="3:3" x14ac:dyDescent="0.2">
      <c r="C5" s="76"/>
    </row>
    <row r="6" spans="3:3" ht="16" x14ac:dyDescent="0.2">
      <c r="C6" s="76" t="s">
        <v>666</v>
      </c>
    </row>
    <row r="7" spans="3:3" x14ac:dyDescent="0.2">
      <c r="C7" s="76"/>
    </row>
    <row r="8" spans="3:3" x14ac:dyDescent="0.2">
      <c r="C8" s="76"/>
    </row>
    <row r="9" spans="3:3" x14ac:dyDescent="0.2">
      <c r="C9" s="76"/>
    </row>
    <row r="10" spans="3:3" ht="16" x14ac:dyDescent="0.2">
      <c r="C10" s="77" t="s">
        <v>637</v>
      </c>
    </row>
    <row r="11" spans="3:3" x14ac:dyDescent="0.2">
      <c r="C11" s="76"/>
    </row>
    <row r="12" spans="3:3" ht="16" x14ac:dyDescent="0.2">
      <c r="C12" s="77" t="s">
        <v>638</v>
      </c>
    </row>
    <row r="13" spans="3:3" ht="16" x14ac:dyDescent="0.2">
      <c r="C13" s="76" t="s">
        <v>674</v>
      </c>
    </row>
    <row r="14" spans="3:3" ht="16" x14ac:dyDescent="0.2">
      <c r="C14" s="76" t="s">
        <v>676</v>
      </c>
    </row>
    <row r="15" spans="3:3" ht="16" x14ac:dyDescent="0.2">
      <c r="C15" s="76" t="s">
        <v>677</v>
      </c>
    </row>
    <row r="16" spans="3:3" ht="16" x14ac:dyDescent="0.2">
      <c r="C16" s="76" t="s">
        <v>678</v>
      </c>
    </row>
    <row r="17" spans="3:3" ht="16" x14ac:dyDescent="0.2">
      <c r="C17" s="76" t="s">
        <v>675</v>
      </c>
    </row>
    <row r="19" spans="3:3" ht="16" x14ac:dyDescent="0.2">
      <c r="C19" s="77" t="s">
        <v>667</v>
      </c>
    </row>
    <row r="20" spans="3:3" ht="16" x14ac:dyDescent="0.2">
      <c r="C20" s="76" t="s">
        <v>641</v>
      </c>
    </row>
    <row r="21" spans="3:3" ht="16" x14ac:dyDescent="0.2">
      <c r="C21" s="76" t="s">
        <v>642</v>
      </c>
    </row>
    <row r="22" spans="3:3" ht="16" x14ac:dyDescent="0.2">
      <c r="C22" s="76" t="s">
        <v>643</v>
      </c>
    </row>
    <row r="23" spans="3:3" ht="16" x14ac:dyDescent="0.2">
      <c r="C23" s="76" t="s">
        <v>640</v>
      </c>
    </row>
    <row r="24" spans="3:3" x14ac:dyDescent="0.2">
      <c r="C24" s="76"/>
    </row>
    <row r="25" spans="3:3" ht="16" x14ac:dyDescent="0.2">
      <c r="C25" s="77" t="s">
        <v>668</v>
      </c>
    </row>
    <row r="26" spans="3:3" ht="16" x14ac:dyDescent="0.2">
      <c r="C26" s="76" t="s">
        <v>644</v>
      </c>
    </row>
    <row r="27" spans="3:3" ht="16" x14ac:dyDescent="0.2">
      <c r="C27" s="76" t="s">
        <v>643</v>
      </c>
    </row>
    <row r="28" spans="3:3" ht="16" x14ac:dyDescent="0.2">
      <c r="C28" s="76" t="s">
        <v>645</v>
      </c>
    </row>
    <row r="29" spans="3:3" x14ac:dyDescent="0.2">
      <c r="C29" s="76"/>
    </row>
    <row r="30" spans="3:3" ht="16" x14ac:dyDescent="0.2">
      <c r="C30" s="77" t="s">
        <v>669</v>
      </c>
    </row>
    <row r="31" spans="3:3" ht="16" x14ac:dyDescent="0.2">
      <c r="C31" s="76" t="s">
        <v>646</v>
      </c>
    </row>
    <row r="32" spans="3:3" ht="16" x14ac:dyDescent="0.2">
      <c r="C32" s="76" t="s">
        <v>647</v>
      </c>
    </row>
    <row r="33" spans="3:3" x14ac:dyDescent="0.2">
      <c r="C33" s="76"/>
    </row>
    <row r="34" spans="3:3" ht="16" x14ac:dyDescent="0.2">
      <c r="C34" s="77" t="s">
        <v>671</v>
      </c>
    </row>
    <row r="35" spans="3:3" ht="16" x14ac:dyDescent="0.2">
      <c r="C35" s="77" t="s">
        <v>648</v>
      </c>
    </row>
    <row r="36" spans="3:3" ht="16" x14ac:dyDescent="0.2">
      <c r="C36" s="76" t="s">
        <v>643</v>
      </c>
    </row>
    <row r="37" spans="3:3" ht="16" x14ac:dyDescent="0.2">
      <c r="C37" s="76" t="s">
        <v>639</v>
      </c>
    </row>
    <row r="38" spans="3:3" ht="32" x14ac:dyDescent="0.2">
      <c r="C38" s="76" t="s">
        <v>670</v>
      </c>
    </row>
    <row r="39" spans="3:3" x14ac:dyDescent="0.2">
      <c r="C39" s="76"/>
    </row>
    <row r="40" spans="3:3" x14ac:dyDescent="0.2">
      <c r="C40" s="76"/>
    </row>
    <row r="41" spans="3:3" ht="16" x14ac:dyDescent="0.2">
      <c r="C41" s="77" t="s">
        <v>646</v>
      </c>
    </row>
    <row r="42" spans="3:3" ht="16" x14ac:dyDescent="0.2">
      <c r="C42" s="76" t="s">
        <v>649</v>
      </c>
    </row>
    <row r="43" spans="3:3" ht="16" x14ac:dyDescent="0.2">
      <c r="C43" s="76" t="s">
        <v>639</v>
      </c>
    </row>
    <row r="44" spans="3:3" ht="16" x14ac:dyDescent="0.2">
      <c r="C44" s="76" t="s">
        <v>650</v>
      </c>
    </row>
    <row r="45" spans="3:3" ht="16" x14ac:dyDescent="0.2">
      <c r="C45" s="76" t="s">
        <v>651</v>
      </c>
    </row>
    <row r="46" spans="3:3" ht="16" x14ac:dyDescent="0.2">
      <c r="C46" s="76" t="s">
        <v>652</v>
      </c>
    </row>
    <row r="47" spans="3:3" x14ac:dyDescent="0.2">
      <c r="C47" s="76"/>
    </row>
    <row r="48" spans="3:3" ht="32" x14ac:dyDescent="0.2">
      <c r="C48" s="77" t="s">
        <v>672</v>
      </c>
    </row>
    <row r="49" spans="3:3" x14ac:dyDescent="0.2">
      <c r="C49" s="76"/>
    </row>
    <row r="50" spans="3:3" ht="16" x14ac:dyDescent="0.2">
      <c r="C50" s="76" t="s">
        <v>653</v>
      </c>
    </row>
    <row r="51" spans="3:3" ht="16" x14ac:dyDescent="0.2">
      <c r="C51" s="76" t="s">
        <v>649</v>
      </c>
    </row>
    <row r="52" spans="3:3" ht="16" x14ac:dyDescent="0.2">
      <c r="C52" s="76" t="s">
        <v>654</v>
      </c>
    </row>
    <row r="54" spans="3:3" ht="16" x14ac:dyDescent="0.2">
      <c r="C54" s="77" t="s">
        <v>655</v>
      </c>
    </row>
    <row r="55" spans="3:3" ht="16" x14ac:dyDescent="0.2">
      <c r="C55" s="78" t="s">
        <v>656</v>
      </c>
    </row>
    <row r="56" spans="3:3" ht="16" x14ac:dyDescent="0.2">
      <c r="C56" s="76" t="s">
        <v>657</v>
      </c>
    </row>
    <row r="57" spans="3:3" ht="16" x14ac:dyDescent="0.2">
      <c r="C57" s="76" t="s">
        <v>658</v>
      </c>
    </row>
    <row r="58" spans="3:3" x14ac:dyDescent="0.2">
      <c r="C58" s="76"/>
    </row>
    <row r="59" spans="3:3" ht="16" x14ac:dyDescent="0.2">
      <c r="C59" s="78" t="s">
        <v>659</v>
      </c>
    </row>
    <row r="60" spans="3:3" ht="16" x14ac:dyDescent="0.2">
      <c r="C60" s="76" t="s">
        <v>660</v>
      </c>
    </row>
    <row r="61" spans="3:3" ht="16" x14ac:dyDescent="0.2">
      <c r="C61" s="76" t="s">
        <v>661</v>
      </c>
    </row>
    <row r="62" spans="3:3" x14ac:dyDescent="0.2">
      <c r="C62" s="76"/>
    </row>
    <row r="63" spans="3:3" ht="16" x14ac:dyDescent="0.2">
      <c r="C63" s="77" t="s">
        <v>662</v>
      </c>
    </row>
    <row r="64" spans="3:3" ht="16" x14ac:dyDescent="0.2">
      <c r="C64" s="76" t="s">
        <v>673</v>
      </c>
    </row>
    <row r="65" spans="3:3" ht="16" x14ac:dyDescent="0.2">
      <c r="C65" s="76" t="s">
        <v>663</v>
      </c>
    </row>
    <row r="66" spans="3:3" ht="16" x14ac:dyDescent="0.2">
      <c r="C66" s="76" t="s">
        <v>664</v>
      </c>
    </row>
    <row r="68" spans="3:3" ht="16" x14ac:dyDescent="0.2">
      <c r="C68" s="76" t="s">
        <v>665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C79CC-1CC1-4FF9-B6DE-7C0CC6A04D36}">
  <dimension ref="C3:D16"/>
  <sheetViews>
    <sheetView topLeftCell="A13" zoomScale="175" zoomScaleNormal="175" workbookViewId="0">
      <selection activeCell="C1" sqref="C1"/>
    </sheetView>
  </sheetViews>
  <sheetFormatPr baseColWidth="10" defaultColWidth="8.83203125" defaultRowHeight="15" x14ac:dyDescent="0.2"/>
  <cols>
    <col min="3" max="3" width="28.5" customWidth="1"/>
    <col min="4" max="4" width="64.5" customWidth="1"/>
  </cols>
  <sheetData>
    <row r="3" spans="3:4" x14ac:dyDescent="0.2">
      <c r="C3" s="108" t="s">
        <v>679</v>
      </c>
      <c r="D3" s="109"/>
    </row>
    <row r="4" spans="3:4" ht="16" x14ac:dyDescent="0.2">
      <c r="C4" s="77" t="s">
        <v>211</v>
      </c>
      <c r="D4" s="2" t="s">
        <v>691</v>
      </c>
    </row>
    <row r="5" spans="3:4" ht="16" x14ac:dyDescent="0.2">
      <c r="C5" s="77" t="s">
        <v>680</v>
      </c>
      <c r="D5" s="76" t="s">
        <v>681</v>
      </c>
    </row>
    <row r="7" spans="3:4" ht="16" x14ac:dyDescent="0.2">
      <c r="C7" s="77" t="s">
        <v>682</v>
      </c>
      <c r="D7" s="76" t="s">
        <v>683</v>
      </c>
    </row>
    <row r="9" spans="3:4" ht="16" x14ac:dyDescent="0.2">
      <c r="C9" s="77" t="s">
        <v>684</v>
      </c>
      <c r="D9" s="76" t="s">
        <v>685</v>
      </c>
    </row>
    <row r="11" spans="3:4" ht="16" x14ac:dyDescent="0.2">
      <c r="C11" s="77" t="s">
        <v>686</v>
      </c>
      <c r="D11" s="76" t="s">
        <v>687</v>
      </c>
    </row>
    <row r="13" spans="3:4" ht="16" x14ac:dyDescent="0.2">
      <c r="C13" s="76" t="s">
        <v>688</v>
      </c>
      <c r="D13" s="76" t="s">
        <v>689</v>
      </c>
    </row>
    <row r="16" spans="3:4" ht="48" x14ac:dyDescent="0.2">
      <c r="C16" s="76" t="s">
        <v>690</v>
      </c>
    </row>
  </sheetData>
  <mergeCells count="1">
    <mergeCell ref="C3:D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2A479-7CBD-4AD1-AA83-286768EE24C0}">
  <dimension ref="A2:D71"/>
  <sheetViews>
    <sheetView topLeftCell="A40" zoomScaleNormal="100" workbookViewId="0">
      <selection activeCell="D40" sqref="D40"/>
    </sheetView>
  </sheetViews>
  <sheetFormatPr baseColWidth="10" defaultColWidth="8.83203125" defaultRowHeight="15" x14ac:dyDescent="0.2"/>
  <cols>
    <col min="2" max="2" width="69.5" customWidth="1"/>
    <col min="3" max="3" width="69.1640625" customWidth="1"/>
    <col min="4" max="4" width="69.83203125" customWidth="1"/>
  </cols>
  <sheetData>
    <row r="2" spans="1:2" x14ac:dyDescent="0.2">
      <c r="A2" t="s">
        <v>404</v>
      </c>
      <c r="B2" t="s">
        <v>693</v>
      </c>
    </row>
    <row r="4" spans="1:2" ht="19" x14ac:dyDescent="0.2">
      <c r="B4" s="14" t="s">
        <v>694</v>
      </c>
    </row>
    <row r="5" spans="1:2" x14ac:dyDescent="0.2">
      <c r="B5" s="56"/>
    </row>
    <row r="6" spans="1:2" x14ac:dyDescent="0.2">
      <c r="B6" s="57" t="s">
        <v>695</v>
      </c>
    </row>
    <row r="7" spans="1:2" x14ac:dyDescent="0.2">
      <c r="B7" s="79" t="s">
        <v>696</v>
      </c>
    </row>
    <row r="8" spans="1:2" x14ac:dyDescent="0.2">
      <c r="B8" s="79" t="s">
        <v>697</v>
      </c>
    </row>
    <row r="9" spans="1:2" x14ac:dyDescent="0.2">
      <c r="B9" s="56"/>
    </row>
    <row r="10" spans="1:2" x14ac:dyDescent="0.2">
      <c r="B10" s="57" t="s">
        <v>698</v>
      </c>
    </row>
    <row r="11" spans="1:2" x14ac:dyDescent="0.2">
      <c r="B11" s="79" t="s">
        <v>699</v>
      </c>
    </row>
    <row r="12" spans="1:2" x14ac:dyDescent="0.2">
      <c r="B12" s="79" t="s">
        <v>700</v>
      </c>
    </row>
    <row r="13" spans="1:2" x14ac:dyDescent="0.2">
      <c r="B13" s="56"/>
    </row>
    <row r="14" spans="1:2" x14ac:dyDescent="0.2">
      <c r="B14" s="57" t="s">
        <v>701</v>
      </c>
    </row>
    <row r="15" spans="1:2" x14ac:dyDescent="0.2">
      <c r="B15" s="79" t="s">
        <v>702</v>
      </c>
    </row>
    <row r="16" spans="1:2" x14ac:dyDescent="0.2">
      <c r="B16" s="79" t="s">
        <v>703</v>
      </c>
    </row>
    <row r="17" spans="2:4" x14ac:dyDescent="0.2">
      <c r="B17" s="56"/>
    </row>
    <row r="18" spans="2:4" x14ac:dyDescent="0.2">
      <c r="B18" s="57" t="s">
        <v>704</v>
      </c>
    </row>
    <row r="19" spans="2:4" x14ac:dyDescent="0.2">
      <c r="B19" s="79" t="s">
        <v>705</v>
      </c>
    </row>
    <row r="20" spans="2:4" x14ac:dyDescent="0.2">
      <c r="B20" s="79" t="s">
        <v>706</v>
      </c>
    </row>
    <row r="21" spans="2:4" x14ac:dyDescent="0.2">
      <c r="B21" s="56"/>
    </row>
    <row r="22" spans="2:4" x14ac:dyDescent="0.2">
      <c r="B22" s="57" t="s">
        <v>707</v>
      </c>
    </row>
    <row r="23" spans="2:4" x14ac:dyDescent="0.2">
      <c r="B23" s="79" t="s">
        <v>708</v>
      </c>
    </row>
    <row r="24" spans="2:4" x14ac:dyDescent="0.2">
      <c r="B24" s="79" t="s">
        <v>709</v>
      </c>
    </row>
    <row r="26" spans="2:4" ht="16" x14ac:dyDescent="0.2">
      <c r="B26" s="81" t="s">
        <v>162</v>
      </c>
      <c r="C26" s="81" t="s">
        <v>710</v>
      </c>
      <c r="D26" s="81" t="s">
        <v>711</v>
      </c>
    </row>
    <row r="27" spans="2:4" ht="192" x14ac:dyDescent="0.2">
      <c r="B27" s="1" t="s">
        <v>712</v>
      </c>
      <c r="C27" s="1" t="s">
        <v>713</v>
      </c>
      <c r="D27" s="1" t="s">
        <v>714</v>
      </c>
    </row>
    <row r="28" spans="2:4" x14ac:dyDescent="0.2">
      <c r="B28" s="1"/>
      <c r="C28" s="1"/>
      <c r="D28" s="1"/>
    </row>
    <row r="29" spans="2:4" ht="192" x14ac:dyDescent="0.2">
      <c r="B29" s="110" t="s">
        <v>715</v>
      </c>
      <c r="C29" s="1" t="s">
        <v>801</v>
      </c>
      <c r="D29" s="1" t="s">
        <v>800</v>
      </c>
    </row>
    <row r="30" spans="2:4" ht="198" customHeight="1" x14ac:dyDescent="0.2">
      <c r="B30" s="110"/>
      <c r="C30" s="1" t="s">
        <v>716</v>
      </c>
      <c r="D30" s="1"/>
    </row>
    <row r="31" spans="2:4" ht="64" x14ac:dyDescent="0.2">
      <c r="B31" s="55" t="s">
        <v>717</v>
      </c>
      <c r="C31" s="1" t="s">
        <v>718</v>
      </c>
      <c r="D31" s="1"/>
    </row>
    <row r="32" spans="2:4" x14ac:dyDescent="0.2">
      <c r="B32" s="1"/>
      <c r="C32" s="1"/>
      <c r="D32" s="1"/>
    </row>
    <row r="33" spans="2:4" ht="144" x14ac:dyDescent="0.2">
      <c r="B33" s="55" t="s">
        <v>719</v>
      </c>
      <c r="C33" s="1" t="s">
        <v>720</v>
      </c>
      <c r="D33" s="1" t="s">
        <v>802</v>
      </c>
    </row>
    <row r="34" spans="2:4" x14ac:dyDescent="0.2">
      <c r="B34" s="55"/>
      <c r="C34" s="1"/>
      <c r="D34" s="1"/>
    </row>
    <row r="35" spans="2:4" ht="64" x14ac:dyDescent="0.2">
      <c r="B35" s="55" t="s">
        <v>721</v>
      </c>
      <c r="C35" s="1" t="s">
        <v>722</v>
      </c>
      <c r="D35" s="1"/>
    </row>
    <row r="36" spans="2:4" x14ac:dyDescent="0.2">
      <c r="B36" s="55"/>
      <c r="C36" s="1"/>
      <c r="D36" s="1"/>
    </row>
    <row r="37" spans="2:4" ht="64" x14ac:dyDescent="0.2">
      <c r="B37" s="55" t="s">
        <v>723</v>
      </c>
      <c r="C37" s="1"/>
      <c r="D37" s="1" t="s">
        <v>724</v>
      </c>
    </row>
    <row r="38" spans="2:4" x14ac:dyDescent="0.2">
      <c r="B38" s="55"/>
      <c r="C38" s="1"/>
      <c r="D38" s="1"/>
    </row>
    <row r="39" spans="2:4" ht="112" x14ac:dyDescent="0.2">
      <c r="B39" s="55" t="s">
        <v>725</v>
      </c>
      <c r="C39" s="1" t="s">
        <v>726</v>
      </c>
      <c r="D39" s="1" t="s">
        <v>803</v>
      </c>
    </row>
    <row r="43" spans="2:4" ht="19" x14ac:dyDescent="0.2">
      <c r="B43" s="14" t="s">
        <v>727</v>
      </c>
    </row>
    <row r="44" spans="2:4" x14ac:dyDescent="0.2">
      <c r="B44" s="56"/>
    </row>
    <row r="45" spans="2:4" x14ac:dyDescent="0.2">
      <c r="B45" s="57" t="s">
        <v>728</v>
      </c>
    </row>
    <row r="46" spans="2:4" x14ac:dyDescent="0.2">
      <c r="B46" s="79" t="s">
        <v>729</v>
      </c>
    </row>
    <row r="47" spans="2:4" x14ac:dyDescent="0.2">
      <c r="B47" s="56"/>
    </row>
    <row r="48" spans="2:4" x14ac:dyDescent="0.2">
      <c r="B48" s="57" t="s">
        <v>730</v>
      </c>
    </row>
    <row r="49" spans="2:2" x14ac:dyDescent="0.2">
      <c r="B49" s="79" t="s">
        <v>731</v>
      </c>
    </row>
    <row r="50" spans="2:2" x14ac:dyDescent="0.2">
      <c r="B50" s="56"/>
    </row>
    <row r="51" spans="2:2" x14ac:dyDescent="0.2">
      <c r="B51" s="57" t="s">
        <v>246</v>
      </c>
    </row>
    <row r="52" spans="2:2" x14ac:dyDescent="0.2">
      <c r="B52" s="58" t="s">
        <v>732</v>
      </c>
    </row>
    <row r="53" spans="2:2" x14ac:dyDescent="0.2">
      <c r="B53" s="79" t="s">
        <v>733</v>
      </c>
    </row>
    <row r="54" spans="2:2" x14ac:dyDescent="0.2">
      <c r="B54" s="56"/>
    </row>
    <row r="55" spans="2:2" x14ac:dyDescent="0.2">
      <c r="B55" s="57" t="s">
        <v>734</v>
      </c>
    </row>
    <row r="56" spans="2:2" x14ac:dyDescent="0.2">
      <c r="B56" s="79" t="s">
        <v>735</v>
      </c>
    </row>
    <row r="57" spans="2:2" x14ac:dyDescent="0.2">
      <c r="B57" s="79" t="s">
        <v>736</v>
      </c>
    </row>
    <row r="58" spans="2:2" x14ac:dyDescent="0.2">
      <c r="B58" s="56"/>
    </row>
    <row r="59" spans="2:2" x14ac:dyDescent="0.2">
      <c r="B59" s="57" t="s">
        <v>737</v>
      </c>
    </row>
    <row r="60" spans="2:2" x14ac:dyDescent="0.2">
      <c r="B60" s="79" t="s">
        <v>738</v>
      </c>
    </row>
    <row r="61" spans="2:2" x14ac:dyDescent="0.2">
      <c r="B61" s="58" t="s">
        <v>739</v>
      </c>
    </row>
    <row r="62" spans="2:2" x14ac:dyDescent="0.2">
      <c r="B62" s="56"/>
    </row>
    <row r="63" spans="2:2" x14ac:dyDescent="0.2">
      <c r="B63" s="57" t="s">
        <v>740</v>
      </c>
    </row>
    <row r="64" spans="2:2" x14ac:dyDescent="0.2">
      <c r="B64" s="79" t="s">
        <v>741</v>
      </c>
    </row>
    <row r="65" spans="2:2" x14ac:dyDescent="0.2">
      <c r="B65" s="56"/>
    </row>
    <row r="66" spans="2:2" x14ac:dyDescent="0.2">
      <c r="B66" s="57" t="s">
        <v>742</v>
      </c>
    </row>
    <row r="67" spans="2:2" x14ac:dyDescent="0.2">
      <c r="B67" s="79" t="s">
        <v>743</v>
      </c>
    </row>
    <row r="68" spans="2:2" x14ac:dyDescent="0.2">
      <c r="B68" s="79" t="s">
        <v>744</v>
      </c>
    </row>
    <row r="70" spans="2:2" ht="19" x14ac:dyDescent="0.2">
      <c r="B70" s="14" t="s">
        <v>745</v>
      </c>
    </row>
    <row r="71" spans="2:2" x14ac:dyDescent="0.2">
      <c r="B71" s="56" t="s">
        <v>746</v>
      </c>
    </row>
  </sheetData>
  <mergeCells count="1">
    <mergeCell ref="B29:B3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EE84B-81AA-4B90-BB21-ABF0DD51481C}">
  <dimension ref="B3:C63"/>
  <sheetViews>
    <sheetView topLeftCell="A63" zoomScale="160" zoomScaleNormal="160" workbookViewId="0">
      <selection activeCell="C63" sqref="C63"/>
    </sheetView>
  </sheetViews>
  <sheetFormatPr baseColWidth="10" defaultColWidth="8.83203125" defaultRowHeight="15" x14ac:dyDescent="0.2"/>
  <cols>
    <col min="1" max="1" width="1.5" customWidth="1"/>
    <col min="2" max="2" width="4.5" customWidth="1"/>
    <col min="3" max="3" width="107" customWidth="1"/>
  </cols>
  <sheetData>
    <row r="3" spans="2:3" x14ac:dyDescent="0.2">
      <c r="B3">
        <v>1</v>
      </c>
      <c r="C3" t="s">
        <v>397</v>
      </c>
    </row>
    <row r="4" spans="2:3" ht="112" x14ac:dyDescent="0.2">
      <c r="C4" s="1" t="s">
        <v>398</v>
      </c>
    </row>
    <row r="6" spans="2:3" x14ac:dyDescent="0.2">
      <c r="B6">
        <v>2</v>
      </c>
      <c r="C6" t="s">
        <v>399</v>
      </c>
    </row>
    <row r="7" spans="2:3" x14ac:dyDescent="0.2">
      <c r="C7" t="s">
        <v>400</v>
      </c>
    </row>
    <row r="9" spans="2:3" x14ac:dyDescent="0.2">
      <c r="B9" t="s">
        <v>404</v>
      </c>
      <c r="C9" s="2" t="s">
        <v>401</v>
      </c>
    </row>
    <row r="10" spans="2:3" x14ac:dyDescent="0.2">
      <c r="C10" s="2" t="s">
        <v>405</v>
      </c>
    </row>
    <row r="11" spans="2:3" ht="208" x14ac:dyDescent="0.2">
      <c r="C11" s="1" t="s">
        <v>440</v>
      </c>
    </row>
    <row r="12" spans="2:3" ht="80" x14ac:dyDescent="0.2">
      <c r="C12" s="1" t="s">
        <v>402</v>
      </c>
    </row>
    <row r="14" spans="2:3" x14ac:dyDescent="0.2">
      <c r="B14" t="s">
        <v>404</v>
      </c>
      <c r="C14" s="2" t="s">
        <v>403</v>
      </c>
    </row>
    <row r="16" spans="2:3" x14ac:dyDescent="0.2">
      <c r="C16" t="s">
        <v>406</v>
      </c>
    </row>
    <row r="18" spans="2:3" x14ac:dyDescent="0.2">
      <c r="C18" s="2" t="s">
        <v>407</v>
      </c>
    </row>
    <row r="19" spans="2:3" x14ac:dyDescent="0.2">
      <c r="C19" t="s">
        <v>408</v>
      </c>
    </row>
    <row r="21" spans="2:3" ht="19" x14ac:dyDescent="0.2">
      <c r="C21" s="14" t="s">
        <v>409</v>
      </c>
    </row>
    <row r="22" spans="2:3" ht="16" x14ac:dyDescent="0.2">
      <c r="C22" s="1" t="s">
        <v>410</v>
      </c>
    </row>
    <row r="24" spans="2:3" ht="19" x14ac:dyDescent="0.2">
      <c r="B24" t="s">
        <v>404</v>
      </c>
      <c r="C24" s="14" t="s">
        <v>411</v>
      </c>
    </row>
    <row r="25" spans="2:3" x14ac:dyDescent="0.2">
      <c r="C25" s="56"/>
    </row>
    <row r="26" spans="2:3" x14ac:dyDescent="0.2">
      <c r="C26" s="57" t="s">
        <v>412</v>
      </c>
    </row>
    <row r="27" spans="2:3" x14ac:dyDescent="0.2">
      <c r="C27" s="58" t="s">
        <v>413</v>
      </c>
    </row>
    <row r="28" spans="2:3" x14ac:dyDescent="0.2">
      <c r="C28" s="58" t="s">
        <v>414</v>
      </c>
    </row>
    <row r="29" spans="2:3" x14ac:dyDescent="0.2">
      <c r="C29" s="58" t="s">
        <v>415</v>
      </c>
    </row>
    <row r="30" spans="2:3" x14ac:dyDescent="0.2">
      <c r="C30" s="56"/>
    </row>
    <row r="31" spans="2:3" x14ac:dyDescent="0.2">
      <c r="C31" s="57" t="s">
        <v>416</v>
      </c>
    </row>
    <row r="32" spans="2:3" x14ac:dyDescent="0.2">
      <c r="C32" s="58" t="s">
        <v>417</v>
      </c>
    </row>
    <row r="33" spans="3:3" x14ac:dyDescent="0.2">
      <c r="C33" s="56"/>
    </row>
    <row r="34" spans="3:3" x14ac:dyDescent="0.2">
      <c r="C34" s="57" t="s">
        <v>418</v>
      </c>
    </row>
    <row r="35" spans="3:3" x14ac:dyDescent="0.2">
      <c r="C35" s="58" t="s">
        <v>419</v>
      </c>
    </row>
    <row r="36" spans="3:3" x14ac:dyDescent="0.2">
      <c r="C36" s="58" t="s">
        <v>420</v>
      </c>
    </row>
    <row r="37" spans="3:3" x14ac:dyDescent="0.2">
      <c r="C37" s="58" t="s">
        <v>421</v>
      </c>
    </row>
    <row r="38" spans="3:3" x14ac:dyDescent="0.2">
      <c r="C38" s="58" t="s">
        <v>422</v>
      </c>
    </row>
    <row r="39" spans="3:3" x14ac:dyDescent="0.2">
      <c r="C39" s="58" t="s">
        <v>423</v>
      </c>
    </row>
    <row r="40" spans="3:3" x14ac:dyDescent="0.2">
      <c r="C40" s="58" t="s">
        <v>424</v>
      </c>
    </row>
    <row r="41" spans="3:3" x14ac:dyDescent="0.2">
      <c r="C41" s="58" t="s">
        <v>425</v>
      </c>
    </row>
    <row r="42" spans="3:3" x14ac:dyDescent="0.2">
      <c r="C42" s="56"/>
    </row>
    <row r="43" spans="3:3" x14ac:dyDescent="0.2">
      <c r="C43" s="57" t="s">
        <v>426</v>
      </c>
    </row>
    <row r="44" spans="3:3" x14ac:dyDescent="0.2">
      <c r="C44" s="58" t="s">
        <v>427</v>
      </c>
    </row>
    <row r="45" spans="3:3" x14ac:dyDescent="0.2">
      <c r="C45" s="56"/>
    </row>
    <row r="46" spans="3:3" x14ac:dyDescent="0.2">
      <c r="C46" s="57" t="s">
        <v>428</v>
      </c>
    </row>
    <row r="47" spans="3:3" x14ac:dyDescent="0.2">
      <c r="C47" s="58" t="s">
        <v>429</v>
      </c>
    </row>
    <row r="48" spans="3:3" x14ac:dyDescent="0.2">
      <c r="C48" s="56"/>
    </row>
    <row r="49" spans="2:3" x14ac:dyDescent="0.2">
      <c r="C49" s="57" t="s">
        <v>430</v>
      </c>
    </row>
    <row r="50" spans="2:3" x14ac:dyDescent="0.2">
      <c r="C50" s="58" t="s">
        <v>431</v>
      </c>
    </row>
    <row r="51" spans="2:3" x14ac:dyDescent="0.2">
      <c r="C51" s="56"/>
    </row>
    <row r="52" spans="2:3" x14ac:dyDescent="0.2">
      <c r="C52" s="57" t="s">
        <v>432</v>
      </c>
    </row>
    <row r="53" spans="2:3" x14ac:dyDescent="0.2">
      <c r="C53" s="58" t="s">
        <v>433</v>
      </c>
    </row>
    <row r="55" spans="2:3" x14ac:dyDescent="0.2">
      <c r="C55" s="2" t="s">
        <v>438</v>
      </c>
    </row>
    <row r="56" spans="2:3" ht="80" x14ac:dyDescent="0.2">
      <c r="C56" s="1" t="s">
        <v>434</v>
      </c>
    </row>
    <row r="58" spans="2:3" x14ac:dyDescent="0.2">
      <c r="C58" s="2" t="s">
        <v>439</v>
      </c>
    </row>
    <row r="59" spans="2:3" ht="224" x14ac:dyDescent="0.2">
      <c r="C59" s="1" t="s">
        <v>435</v>
      </c>
    </row>
    <row r="61" spans="2:3" ht="32" x14ac:dyDescent="0.2">
      <c r="B61" s="55" t="s">
        <v>404</v>
      </c>
      <c r="C61" s="55" t="s">
        <v>436</v>
      </c>
    </row>
    <row r="62" spans="2:3" ht="224" x14ac:dyDescent="0.2">
      <c r="C62" s="1" t="s">
        <v>437</v>
      </c>
    </row>
    <row r="63" spans="2:3" ht="80" x14ac:dyDescent="0.2">
      <c r="C63" s="1" t="s">
        <v>441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1327F-6E3C-48BF-B684-10CE72F7A1EA}">
  <dimension ref="B2:C102"/>
  <sheetViews>
    <sheetView topLeftCell="A46" zoomScale="145" zoomScaleNormal="145" workbookViewId="0">
      <selection activeCell="C79" sqref="C79"/>
    </sheetView>
  </sheetViews>
  <sheetFormatPr baseColWidth="10" defaultColWidth="8.83203125" defaultRowHeight="16" x14ac:dyDescent="0.2"/>
  <cols>
    <col min="2" max="2" width="9.1640625" style="82"/>
    <col min="3" max="3" width="114.33203125" style="83" customWidth="1"/>
  </cols>
  <sheetData>
    <row r="2" spans="2:3" x14ac:dyDescent="0.2">
      <c r="B2" s="111" t="s">
        <v>779</v>
      </c>
      <c r="C2" s="111"/>
    </row>
    <row r="4" spans="2:3" ht="17" x14ac:dyDescent="0.2">
      <c r="B4" s="84" t="s">
        <v>769</v>
      </c>
      <c r="C4" s="85" t="s">
        <v>770</v>
      </c>
    </row>
    <row r="5" spans="2:3" ht="17" x14ac:dyDescent="0.2">
      <c r="C5" s="80" t="s">
        <v>771</v>
      </c>
    </row>
    <row r="6" spans="2:3" x14ac:dyDescent="0.2">
      <c r="C6" s="86"/>
    </row>
    <row r="7" spans="2:3" ht="34" x14ac:dyDescent="0.2">
      <c r="C7" s="87" t="s">
        <v>780</v>
      </c>
    </row>
    <row r="8" spans="2:3" ht="17" x14ac:dyDescent="0.2">
      <c r="C8" s="87" t="s">
        <v>772</v>
      </c>
    </row>
    <row r="9" spans="2:3" ht="17" x14ac:dyDescent="0.2">
      <c r="C9" s="86" t="s">
        <v>781</v>
      </c>
    </row>
    <row r="10" spans="2:3" ht="17" x14ac:dyDescent="0.2">
      <c r="C10" s="86" t="s">
        <v>782</v>
      </c>
    </row>
    <row r="11" spans="2:3" ht="34" x14ac:dyDescent="0.2">
      <c r="C11" s="86" t="s">
        <v>783</v>
      </c>
    </row>
    <row r="12" spans="2:3" ht="34" x14ac:dyDescent="0.2">
      <c r="C12" s="87" t="s">
        <v>784</v>
      </c>
    </row>
    <row r="14" spans="2:3" ht="17" x14ac:dyDescent="0.2">
      <c r="C14" s="80" t="s">
        <v>773</v>
      </c>
    </row>
    <row r="15" spans="2:3" x14ac:dyDescent="0.2">
      <c r="C15" s="86"/>
    </row>
    <row r="16" spans="2:3" ht="17" x14ac:dyDescent="0.2">
      <c r="C16" s="87" t="s">
        <v>774</v>
      </c>
    </row>
    <row r="17" spans="2:3" ht="34" x14ac:dyDescent="0.2">
      <c r="C17" s="86" t="s">
        <v>785</v>
      </c>
    </row>
    <row r="18" spans="2:3" ht="34" x14ac:dyDescent="0.2">
      <c r="C18" s="87" t="s">
        <v>786</v>
      </c>
    </row>
    <row r="19" spans="2:3" ht="17" x14ac:dyDescent="0.2">
      <c r="C19" s="87" t="s">
        <v>775</v>
      </c>
    </row>
    <row r="20" spans="2:3" ht="34" x14ac:dyDescent="0.2">
      <c r="C20" s="87" t="s">
        <v>787</v>
      </c>
    </row>
    <row r="21" spans="2:3" ht="17" x14ac:dyDescent="0.2">
      <c r="C21" s="87" t="s">
        <v>788</v>
      </c>
    </row>
    <row r="22" spans="2:3" ht="17" x14ac:dyDescent="0.2">
      <c r="C22" s="87" t="s">
        <v>776</v>
      </c>
    </row>
    <row r="23" spans="2:3" ht="34" x14ac:dyDescent="0.2">
      <c r="C23" s="86" t="s">
        <v>777</v>
      </c>
    </row>
    <row r="24" spans="2:3" ht="34" x14ac:dyDescent="0.2">
      <c r="C24" s="87" t="s">
        <v>789</v>
      </c>
    </row>
    <row r="25" spans="2:3" ht="17" x14ac:dyDescent="0.2">
      <c r="C25" s="86" t="s">
        <v>790</v>
      </c>
    </row>
    <row r="26" spans="2:3" x14ac:dyDescent="0.2">
      <c r="C26" s="88"/>
    </row>
    <row r="27" spans="2:3" ht="17" x14ac:dyDescent="0.2">
      <c r="C27" s="80" t="s">
        <v>778</v>
      </c>
    </row>
    <row r="28" spans="2:3" x14ac:dyDescent="0.2">
      <c r="C28" s="86"/>
    </row>
    <row r="29" spans="2:3" ht="34" x14ac:dyDescent="0.2">
      <c r="C29" s="86" t="s">
        <v>791</v>
      </c>
    </row>
    <row r="30" spans="2:3" x14ac:dyDescent="0.2">
      <c r="C30" s="88"/>
    </row>
    <row r="31" spans="2:3" ht="17" x14ac:dyDescent="0.2">
      <c r="B31" s="84" t="s">
        <v>765</v>
      </c>
      <c r="C31" s="85" t="s">
        <v>764</v>
      </c>
    </row>
    <row r="32" spans="2:3" ht="17" x14ac:dyDescent="0.2">
      <c r="B32" s="82">
        <v>1</v>
      </c>
      <c r="C32" s="88" t="s">
        <v>747</v>
      </c>
    </row>
    <row r="33" spans="2:3" ht="85" x14ac:dyDescent="0.2">
      <c r="C33" s="83" t="s">
        <v>748</v>
      </c>
    </row>
    <row r="35" spans="2:3" ht="17" x14ac:dyDescent="0.2">
      <c r="B35" s="82">
        <v>2</v>
      </c>
      <c r="C35" s="88" t="s">
        <v>749</v>
      </c>
    </row>
    <row r="36" spans="2:3" ht="170" x14ac:dyDescent="0.2">
      <c r="C36" s="83" t="s">
        <v>750</v>
      </c>
    </row>
    <row r="39" spans="2:3" ht="17" x14ac:dyDescent="0.2">
      <c r="B39" s="84" t="s">
        <v>766</v>
      </c>
      <c r="C39" s="85" t="s">
        <v>751</v>
      </c>
    </row>
    <row r="40" spans="2:3" ht="85" x14ac:dyDescent="0.2">
      <c r="C40" s="83" t="s">
        <v>752</v>
      </c>
    </row>
    <row r="41" spans="2:3" ht="136" x14ac:dyDescent="0.2">
      <c r="B41" s="90">
        <v>1</v>
      </c>
      <c r="C41" s="83" t="s">
        <v>798</v>
      </c>
    </row>
    <row r="42" spans="2:3" x14ac:dyDescent="0.2">
      <c r="B42" s="90"/>
    </row>
    <row r="43" spans="2:3" ht="119" x14ac:dyDescent="0.2">
      <c r="B43" s="90">
        <v>2</v>
      </c>
      <c r="C43" s="83" t="s">
        <v>799</v>
      </c>
    </row>
    <row r="45" spans="2:3" s="2" customFormat="1" ht="17" x14ac:dyDescent="0.2">
      <c r="B45" s="84" t="s">
        <v>767</v>
      </c>
      <c r="C45" s="85" t="s">
        <v>753</v>
      </c>
    </row>
    <row r="46" spans="2:3" ht="102" x14ac:dyDescent="0.2">
      <c r="C46" s="83" t="s">
        <v>754</v>
      </c>
    </row>
    <row r="48" spans="2:3" ht="51" x14ac:dyDescent="0.2">
      <c r="C48" s="83" t="s">
        <v>755</v>
      </c>
    </row>
    <row r="51" spans="2:3" ht="17" x14ac:dyDescent="0.2">
      <c r="B51" s="84" t="s">
        <v>768</v>
      </c>
      <c r="C51" s="89" t="s">
        <v>727</v>
      </c>
    </row>
    <row r="52" spans="2:3" x14ac:dyDescent="0.2">
      <c r="C52" s="86"/>
    </row>
    <row r="53" spans="2:3" ht="17" x14ac:dyDescent="0.2">
      <c r="C53" s="87" t="s">
        <v>756</v>
      </c>
    </row>
    <row r="54" spans="2:3" ht="17" x14ac:dyDescent="0.2">
      <c r="C54" s="86" t="s">
        <v>757</v>
      </c>
    </row>
    <row r="55" spans="2:3" ht="17" x14ac:dyDescent="0.2">
      <c r="C55" s="87" t="s">
        <v>792</v>
      </c>
    </row>
    <row r="56" spans="2:3" ht="17" x14ac:dyDescent="0.2">
      <c r="C56" s="87" t="s">
        <v>758</v>
      </c>
    </row>
    <row r="57" spans="2:3" ht="17" x14ac:dyDescent="0.2">
      <c r="C57" s="87" t="s">
        <v>793</v>
      </c>
    </row>
    <row r="58" spans="2:3" x14ac:dyDescent="0.2">
      <c r="C58" s="86"/>
    </row>
    <row r="59" spans="2:3" ht="17" x14ac:dyDescent="0.2">
      <c r="C59" s="87" t="s">
        <v>759</v>
      </c>
    </row>
    <row r="60" spans="2:3" ht="17" x14ac:dyDescent="0.2">
      <c r="C60" s="86" t="s">
        <v>794</v>
      </c>
    </row>
    <row r="61" spans="2:3" ht="34" x14ac:dyDescent="0.2">
      <c r="C61" s="86" t="s">
        <v>795</v>
      </c>
    </row>
    <row r="62" spans="2:3" x14ac:dyDescent="0.2">
      <c r="C62" s="86"/>
    </row>
    <row r="63" spans="2:3" ht="17" x14ac:dyDescent="0.2">
      <c r="C63" s="87" t="s">
        <v>760</v>
      </c>
    </row>
    <row r="64" spans="2:3" ht="17" x14ac:dyDescent="0.2">
      <c r="C64" s="86" t="s">
        <v>761</v>
      </c>
    </row>
    <row r="65" spans="2:3" x14ac:dyDescent="0.2">
      <c r="C65" s="86"/>
    </row>
    <row r="66" spans="2:3" ht="17" x14ac:dyDescent="0.2">
      <c r="C66" s="87" t="s">
        <v>762</v>
      </c>
    </row>
    <row r="67" spans="2:3" ht="34" x14ac:dyDescent="0.2">
      <c r="C67" s="86" t="s">
        <v>796</v>
      </c>
    </row>
    <row r="68" spans="2:3" x14ac:dyDescent="0.2">
      <c r="C68" s="86"/>
    </row>
    <row r="69" spans="2:3" ht="17" x14ac:dyDescent="0.2">
      <c r="C69" s="87" t="s">
        <v>763</v>
      </c>
    </row>
    <row r="70" spans="2:3" ht="34" x14ac:dyDescent="0.2">
      <c r="C70" s="86" t="s">
        <v>797</v>
      </c>
    </row>
    <row r="73" spans="2:3" ht="17" x14ac:dyDescent="0.2">
      <c r="B73" s="84" t="s">
        <v>942</v>
      </c>
      <c r="C73" s="89" t="s">
        <v>943</v>
      </c>
    </row>
    <row r="74" spans="2:3" ht="17" x14ac:dyDescent="0.2">
      <c r="C74" s="83" t="s">
        <v>944</v>
      </c>
    </row>
    <row r="75" spans="2:3" ht="17" x14ac:dyDescent="0.2">
      <c r="C75" s="83" t="s">
        <v>945</v>
      </c>
    </row>
    <row r="76" spans="2:3" ht="17" x14ac:dyDescent="0.2">
      <c r="C76" s="83" t="s">
        <v>946</v>
      </c>
    </row>
    <row r="77" spans="2:3" ht="17" x14ac:dyDescent="0.2">
      <c r="C77" s="83" t="s">
        <v>947</v>
      </c>
    </row>
    <row r="78" spans="2:3" ht="17" x14ac:dyDescent="0.2">
      <c r="C78" s="83" t="s">
        <v>948</v>
      </c>
    </row>
    <row r="79" spans="2:3" ht="34" x14ac:dyDescent="0.2">
      <c r="C79" s="83" t="s">
        <v>949</v>
      </c>
    </row>
    <row r="80" spans="2:3" ht="17" x14ac:dyDescent="0.2">
      <c r="C80" s="83" t="s">
        <v>950</v>
      </c>
    </row>
    <row r="81" spans="2:3" ht="17" x14ac:dyDescent="0.2">
      <c r="C81" s="83" t="s">
        <v>951</v>
      </c>
    </row>
    <row r="82" spans="2:3" ht="34" x14ac:dyDescent="0.2">
      <c r="C82" s="83" t="s">
        <v>952</v>
      </c>
    </row>
    <row r="84" spans="2:3" ht="17" x14ac:dyDescent="0.2">
      <c r="C84" s="83" t="s">
        <v>953</v>
      </c>
    </row>
    <row r="86" spans="2:3" ht="17" x14ac:dyDescent="0.2">
      <c r="C86" s="83" t="s">
        <v>954</v>
      </c>
    </row>
    <row r="87" spans="2:3" ht="17" x14ac:dyDescent="0.2">
      <c r="C87" s="83" t="s">
        <v>955</v>
      </c>
    </row>
    <row r="88" spans="2:3" ht="17" x14ac:dyDescent="0.2">
      <c r="C88" s="83" t="s">
        <v>956</v>
      </c>
    </row>
    <row r="90" spans="2:3" ht="17" x14ac:dyDescent="0.2">
      <c r="B90" s="84" t="s">
        <v>957</v>
      </c>
      <c r="C90" s="89" t="s">
        <v>958</v>
      </c>
    </row>
    <row r="91" spans="2:3" ht="17" x14ac:dyDescent="0.2">
      <c r="C91" s="83" t="s">
        <v>962</v>
      </c>
    </row>
    <row r="92" spans="2:3" ht="17" x14ac:dyDescent="0.2">
      <c r="C92" s="83" t="s">
        <v>963</v>
      </c>
    </row>
    <row r="93" spans="2:3" ht="17" x14ac:dyDescent="0.2">
      <c r="C93" s="83" t="s">
        <v>964</v>
      </c>
    </row>
    <row r="94" spans="2:3" ht="17" x14ac:dyDescent="0.2">
      <c r="C94" s="83" t="s">
        <v>965</v>
      </c>
    </row>
    <row r="95" spans="2:3" ht="17" x14ac:dyDescent="0.2">
      <c r="C95" s="83" t="s">
        <v>966</v>
      </c>
    </row>
    <row r="96" spans="2:3" ht="17" x14ac:dyDescent="0.2">
      <c r="C96" s="83" t="s">
        <v>967</v>
      </c>
    </row>
    <row r="97" spans="3:3" ht="17" x14ac:dyDescent="0.2">
      <c r="C97" s="83" t="s">
        <v>968</v>
      </c>
    </row>
    <row r="99" spans="3:3" ht="17" x14ac:dyDescent="0.2">
      <c r="C99" s="83" t="s">
        <v>959</v>
      </c>
    </row>
    <row r="100" spans="3:3" ht="17" x14ac:dyDescent="0.2">
      <c r="C100" s="83" t="s">
        <v>954</v>
      </c>
    </row>
    <row r="101" spans="3:3" ht="17" x14ac:dyDescent="0.2">
      <c r="C101" s="83" t="s">
        <v>960</v>
      </c>
    </row>
    <row r="102" spans="3:3" ht="17" x14ac:dyDescent="0.2">
      <c r="C102" s="83" t="s">
        <v>961</v>
      </c>
    </row>
  </sheetData>
  <mergeCells count="1">
    <mergeCell ref="B2:C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EA728-0BB8-4FC9-A259-A1F13114549C}">
  <dimension ref="B2:E37"/>
  <sheetViews>
    <sheetView workbookViewId="0">
      <selection activeCell="C38" sqref="C38"/>
    </sheetView>
  </sheetViews>
  <sheetFormatPr baseColWidth="10" defaultColWidth="8.83203125" defaultRowHeight="15" x14ac:dyDescent="0.2"/>
  <cols>
    <col min="3" max="3" width="25.5" customWidth="1"/>
    <col min="4" max="4" width="42.6640625" customWidth="1"/>
  </cols>
  <sheetData>
    <row r="2" spans="2:5" x14ac:dyDescent="0.2">
      <c r="B2" t="s">
        <v>0</v>
      </c>
      <c r="C2" t="s">
        <v>299</v>
      </c>
      <c r="D2" t="s">
        <v>300</v>
      </c>
    </row>
    <row r="3" spans="2:5" x14ac:dyDescent="0.2">
      <c r="C3" t="s">
        <v>301</v>
      </c>
      <c r="D3" t="s">
        <v>302</v>
      </c>
    </row>
    <row r="4" spans="2:5" x14ac:dyDescent="0.2">
      <c r="D4" t="s">
        <v>303</v>
      </c>
    </row>
    <row r="5" spans="2:5" x14ac:dyDescent="0.2">
      <c r="D5" t="s">
        <v>304</v>
      </c>
    </row>
    <row r="6" spans="2:5" x14ac:dyDescent="0.2">
      <c r="D6" t="s">
        <v>305</v>
      </c>
    </row>
    <row r="7" spans="2:5" x14ac:dyDescent="0.2">
      <c r="D7" t="s">
        <v>306</v>
      </c>
    </row>
    <row r="9" spans="2:5" x14ac:dyDescent="0.2">
      <c r="C9" t="s">
        <v>307</v>
      </c>
      <c r="D9" t="s">
        <v>308</v>
      </c>
    </row>
    <row r="10" spans="2:5" x14ac:dyDescent="0.2">
      <c r="D10" t="s">
        <v>309</v>
      </c>
      <c r="E10" t="s">
        <v>310</v>
      </c>
    </row>
    <row r="11" spans="2:5" x14ac:dyDescent="0.2">
      <c r="D11" t="s">
        <v>311</v>
      </c>
    </row>
    <row r="12" spans="2:5" x14ac:dyDescent="0.2">
      <c r="D12" t="s">
        <v>312</v>
      </c>
    </row>
    <row r="13" spans="2:5" x14ac:dyDescent="0.2">
      <c r="D13" t="s">
        <v>312</v>
      </c>
    </row>
    <row r="14" spans="2:5" x14ac:dyDescent="0.2">
      <c r="D14" t="s">
        <v>313</v>
      </c>
    </row>
    <row r="15" spans="2:5" x14ac:dyDescent="0.2">
      <c r="D15" t="s">
        <v>314</v>
      </c>
    </row>
    <row r="16" spans="2:5" x14ac:dyDescent="0.2">
      <c r="D16" t="s">
        <v>315</v>
      </c>
    </row>
    <row r="17" spans="3:4" x14ac:dyDescent="0.2">
      <c r="D17" t="s">
        <v>316</v>
      </c>
    </row>
    <row r="18" spans="3:4" x14ac:dyDescent="0.2">
      <c r="D18" t="s">
        <v>317</v>
      </c>
    </row>
    <row r="20" spans="3:4" x14ac:dyDescent="0.2">
      <c r="C20" t="s">
        <v>318</v>
      </c>
      <c r="D20" t="s">
        <v>319</v>
      </c>
    </row>
    <row r="21" spans="3:4" x14ac:dyDescent="0.2">
      <c r="D21" t="s">
        <v>320</v>
      </c>
    </row>
    <row r="23" spans="3:4" x14ac:dyDescent="0.2">
      <c r="C23" t="s">
        <v>321</v>
      </c>
      <c r="D23" t="s">
        <v>322</v>
      </c>
    </row>
    <row r="26" spans="3:4" x14ac:dyDescent="0.2">
      <c r="C26" t="s">
        <v>323</v>
      </c>
      <c r="D26" t="s">
        <v>324</v>
      </c>
    </row>
    <row r="27" spans="3:4" x14ac:dyDescent="0.2">
      <c r="D27" t="s">
        <v>325</v>
      </c>
    </row>
    <row r="29" spans="3:4" x14ac:dyDescent="0.2">
      <c r="C29" t="s">
        <v>326</v>
      </c>
      <c r="D29" t="s">
        <v>327</v>
      </c>
    </row>
    <row r="30" spans="3:4" x14ac:dyDescent="0.2">
      <c r="D30" t="s">
        <v>328</v>
      </c>
    </row>
    <row r="31" spans="3:4" x14ac:dyDescent="0.2">
      <c r="D31" t="s">
        <v>329</v>
      </c>
    </row>
    <row r="32" spans="3:4" x14ac:dyDescent="0.2">
      <c r="D32" t="s">
        <v>330</v>
      </c>
    </row>
    <row r="33" spans="3:4" x14ac:dyDescent="0.2">
      <c r="D33" t="s">
        <v>331</v>
      </c>
    </row>
    <row r="34" spans="3:4" x14ac:dyDescent="0.2">
      <c r="D34" t="s">
        <v>332</v>
      </c>
    </row>
    <row r="36" spans="3:4" x14ac:dyDescent="0.2">
      <c r="C36" t="s">
        <v>333</v>
      </c>
      <c r="D36" t="s">
        <v>334</v>
      </c>
    </row>
    <row r="37" spans="3:4" x14ac:dyDescent="0.2">
      <c r="D37" t="s">
        <v>335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FFE8C-B817-427C-8A38-628F76E77F8F}">
  <dimension ref="B2:B72"/>
  <sheetViews>
    <sheetView topLeftCell="A37" zoomScale="160" zoomScaleNormal="160" workbookViewId="0">
      <selection activeCell="B72" sqref="B72"/>
    </sheetView>
  </sheetViews>
  <sheetFormatPr baseColWidth="10" defaultColWidth="8.83203125" defaultRowHeight="15" x14ac:dyDescent="0.2"/>
  <cols>
    <col min="2" max="2" width="120.5" style="1" customWidth="1"/>
  </cols>
  <sheetData>
    <row r="2" spans="2:2" x14ac:dyDescent="0.2">
      <c r="B2" s="2" t="s">
        <v>468</v>
      </c>
    </row>
    <row r="3" spans="2:2" ht="64" x14ac:dyDescent="0.2">
      <c r="B3" s="1" t="s">
        <v>442</v>
      </c>
    </row>
    <row r="5" spans="2:2" ht="20" x14ac:dyDescent="0.2">
      <c r="B5" s="59" t="s">
        <v>443</v>
      </c>
    </row>
    <row r="6" spans="2:2" x14ac:dyDescent="0.2">
      <c r="B6" s="60"/>
    </row>
    <row r="7" spans="2:2" ht="16" x14ac:dyDescent="0.2">
      <c r="B7" s="61" t="s">
        <v>444</v>
      </c>
    </row>
    <row r="8" spans="2:2" ht="16" x14ac:dyDescent="0.2">
      <c r="B8" s="61" t="s">
        <v>445</v>
      </c>
    </row>
    <row r="10" spans="2:2" ht="20" x14ac:dyDescent="0.2">
      <c r="B10" s="59" t="s">
        <v>446</v>
      </c>
    </row>
    <row r="12" spans="2:2" ht="16" x14ac:dyDescent="0.2">
      <c r="B12" s="1" t="s">
        <v>447</v>
      </c>
    </row>
    <row r="14" spans="2:2" ht="64" x14ac:dyDescent="0.2">
      <c r="B14" s="55" t="s">
        <v>448</v>
      </c>
    </row>
    <row r="16" spans="2:2" ht="16" x14ac:dyDescent="0.2">
      <c r="B16" s="55" t="s">
        <v>449</v>
      </c>
    </row>
    <row r="17" spans="2:2" x14ac:dyDescent="0.2">
      <c r="B17" s="60"/>
    </row>
    <row r="18" spans="2:2" ht="16" x14ac:dyDescent="0.2">
      <c r="B18" s="60" t="s">
        <v>450</v>
      </c>
    </row>
    <row r="19" spans="2:2" ht="32" x14ac:dyDescent="0.2">
      <c r="B19" s="60" t="s">
        <v>451</v>
      </c>
    </row>
    <row r="20" spans="2:2" ht="32" x14ac:dyDescent="0.2">
      <c r="B20" s="60" t="s">
        <v>452</v>
      </c>
    </row>
    <row r="22" spans="2:2" ht="32" x14ac:dyDescent="0.2">
      <c r="B22" s="1" t="s">
        <v>453</v>
      </c>
    </row>
    <row r="24" spans="2:2" ht="20" x14ac:dyDescent="0.2">
      <c r="B24" s="59" t="s">
        <v>454</v>
      </c>
    </row>
    <row r="25" spans="2:2" x14ac:dyDescent="0.2">
      <c r="B25" s="60"/>
    </row>
    <row r="26" spans="2:2" ht="32" x14ac:dyDescent="0.2">
      <c r="B26" s="61" t="s">
        <v>455</v>
      </c>
    </row>
    <row r="27" spans="2:2" ht="32" x14ac:dyDescent="0.2">
      <c r="B27" s="61" t="s">
        <v>456</v>
      </c>
    </row>
    <row r="28" spans="2:2" ht="32" x14ac:dyDescent="0.2">
      <c r="B28" s="61" t="s">
        <v>457</v>
      </c>
    </row>
    <row r="30" spans="2:2" ht="20" x14ac:dyDescent="0.2">
      <c r="B30" s="59" t="s">
        <v>458</v>
      </c>
    </row>
    <row r="32" spans="2:2" ht="48" x14ac:dyDescent="0.2">
      <c r="B32" s="1" t="s">
        <v>459</v>
      </c>
    </row>
    <row r="34" spans="2:2" ht="16" x14ac:dyDescent="0.2">
      <c r="B34" s="1" t="s">
        <v>460</v>
      </c>
    </row>
    <row r="35" spans="2:2" x14ac:dyDescent="0.2">
      <c r="B35" s="60"/>
    </row>
    <row r="36" spans="2:2" ht="16" x14ac:dyDescent="0.2">
      <c r="B36" s="60" t="s">
        <v>461</v>
      </c>
    </row>
    <row r="37" spans="2:2" ht="16" x14ac:dyDescent="0.2">
      <c r="B37" s="60" t="s">
        <v>462</v>
      </c>
    </row>
    <row r="38" spans="2:2" ht="16" x14ac:dyDescent="0.2">
      <c r="B38" s="60" t="s">
        <v>463</v>
      </c>
    </row>
    <row r="40" spans="2:2" ht="16" x14ac:dyDescent="0.2">
      <c r="B40" s="55" t="s">
        <v>464</v>
      </c>
    </row>
    <row r="41" spans="2:2" x14ac:dyDescent="0.2">
      <c r="B41" s="60"/>
    </row>
    <row r="42" spans="2:2" ht="32" x14ac:dyDescent="0.2">
      <c r="B42" s="61" t="s">
        <v>465</v>
      </c>
    </row>
    <row r="43" spans="2:2" ht="16" x14ac:dyDescent="0.2">
      <c r="B43" s="61" t="s">
        <v>466</v>
      </c>
    </row>
    <row r="45" spans="2:2" ht="32" x14ac:dyDescent="0.2">
      <c r="B45" s="1" t="s">
        <v>467</v>
      </c>
    </row>
    <row r="47" spans="2:2" x14ac:dyDescent="0.2">
      <c r="B47" s="2" t="s">
        <v>469</v>
      </c>
    </row>
    <row r="48" spans="2:2" ht="32" x14ac:dyDescent="0.2">
      <c r="B48" s="1" t="s">
        <v>470</v>
      </c>
    </row>
    <row r="51" spans="2:2" x14ac:dyDescent="0.2">
      <c r="B51" t="s">
        <v>471</v>
      </c>
    </row>
    <row r="52" spans="2:2" ht="64" x14ac:dyDescent="0.2">
      <c r="B52" s="1" t="s">
        <v>472</v>
      </c>
    </row>
    <row r="54" spans="2:2" x14ac:dyDescent="0.2">
      <c r="B54" t="s">
        <v>473</v>
      </c>
    </row>
    <row r="55" spans="2:2" ht="96" x14ac:dyDescent="0.2">
      <c r="B55" s="1" t="s">
        <v>474</v>
      </c>
    </row>
    <row r="57" spans="2:2" x14ac:dyDescent="0.2">
      <c r="B57" t="s">
        <v>475</v>
      </c>
    </row>
    <row r="58" spans="2:2" ht="96" x14ac:dyDescent="0.2">
      <c r="B58" s="1" t="s">
        <v>476</v>
      </c>
    </row>
    <row r="60" spans="2:2" x14ac:dyDescent="0.2">
      <c r="B60" t="s">
        <v>477</v>
      </c>
    </row>
    <row r="61" spans="2:2" ht="64" x14ac:dyDescent="0.2">
      <c r="B61" s="1" t="s">
        <v>478</v>
      </c>
    </row>
    <row r="63" spans="2:2" ht="16" x14ac:dyDescent="0.2">
      <c r="B63" s="55" t="s">
        <v>479</v>
      </c>
    </row>
    <row r="64" spans="2:2" ht="80" x14ac:dyDescent="0.2">
      <c r="B64" s="1" t="s">
        <v>480</v>
      </c>
    </row>
    <row r="68" spans="2:2" ht="16" x14ac:dyDescent="0.2">
      <c r="B68" s="1" t="s">
        <v>917</v>
      </c>
    </row>
    <row r="69" spans="2:2" ht="16" x14ac:dyDescent="0.2">
      <c r="B69" s="1" t="s">
        <v>916</v>
      </c>
    </row>
    <row r="70" spans="2:2" ht="32" x14ac:dyDescent="0.2">
      <c r="B70" s="1" t="s">
        <v>918</v>
      </c>
    </row>
    <row r="71" spans="2:2" ht="16" x14ac:dyDescent="0.2">
      <c r="B71" s="1" t="s">
        <v>919</v>
      </c>
    </row>
    <row r="72" spans="2:2" ht="32" x14ac:dyDescent="0.2">
      <c r="B72" s="1" t="s">
        <v>920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0DA83-ABF5-475F-9E1F-93A9F281854D}">
  <dimension ref="B2:D27"/>
  <sheetViews>
    <sheetView topLeftCell="A25" zoomScale="175" zoomScaleNormal="175" workbookViewId="0">
      <selection activeCell="C31" sqref="C31"/>
    </sheetView>
  </sheetViews>
  <sheetFormatPr baseColWidth="10" defaultColWidth="8.83203125" defaultRowHeight="15" x14ac:dyDescent="0.2"/>
  <cols>
    <col min="2" max="2" width="33.83203125" customWidth="1"/>
    <col min="3" max="3" width="30.83203125" customWidth="1"/>
    <col min="4" max="4" width="42.33203125" customWidth="1"/>
  </cols>
  <sheetData>
    <row r="2" spans="2:4" ht="16" x14ac:dyDescent="0.2">
      <c r="B2" s="12" t="s">
        <v>481</v>
      </c>
      <c r="C2" s="12" t="s">
        <v>482</v>
      </c>
      <c r="D2" s="12" t="s">
        <v>483</v>
      </c>
    </row>
    <row r="3" spans="2:4" ht="32" x14ac:dyDescent="0.2">
      <c r="B3" s="25" t="s">
        <v>484</v>
      </c>
      <c r="C3" s="13" t="s">
        <v>485</v>
      </c>
      <c r="D3" s="13" t="s">
        <v>486</v>
      </c>
    </row>
    <row r="4" spans="2:4" ht="32" x14ac:dyDescent="0.2">
      <c r="B4" s="25" t="s">
        <v>487</v>
      </c>
      <c r="C4" s="13" t="s">
        <v>488</v>
      </c>
      <c r="D4" s="13" t="s">
        <v>489</v>
      </c>
    </row>
    <row r="5" spans="2:4" ht="32" x14ac:dyDescent="0.2">
      <c r="B5" s="25" t="s">
        <v>490</v>
      </c>
      <c r="C5" s="13" t="s">
        <v>491</v>
      </c>
      <c r="D5" s="13" t="s">
        <v>492</v>
      </c>
    </row>
    <row r="6" spans="2:4" ht="32" x14ac:dyDescent="0.2">
      <c r="B6" s="25" t="s">
        <v>493</v>
      </c>
      <c r="C6" s="13" t="s">
        <v>488</v>
      </c>
      <c r="D6" s="13" t="s">
        <v>494</v>
      </c>
    </row>
    <row r="7" spans="2:4" ht="32" x14ac:dyDescent="0.2">
      <c r="B7" s="25" t="s">
        <v>495</v>
      </c>
      <c r="C7" s="13" t="s">
        <v>496</v>
      </c>
      <c r="D7" s="13" t="s">
        <v>497</v>
      </c>
    </row>
    <row r="8" spans="2:4" ht="32" x14ac:dyDescent="0.2">
      <c r="B8" s="25" t="s">
        <v>498</v>
      </c>
      <c r="C8" s="13" t="s">
        <v>499</v>
      </c>
      <c r="D8" s="13" t="s">
        <v>500</v>
      </c>
    </row>
    <row r="9" spans="2:4" ht="32" x14ac:dyDescent="0.2">
      <c r="B9" s="25" t="s">
        <v>501</v>
      </c>
      <c r="C9" s="13" t="s">
        <v>502</v>
      </c>
      <c r="D9" s="13" t="s">
        <v>503</v>
      </c>
    </row>
    <row r="10" spans="2:4" ht="16" x14ac:dyDescent="0.2">
      <c r="B10" s="25" t="s">
        <v>504</v>
      </c>
      <c r="C10" s="13" t="s">
        <v>505</v>
      </c>
      <c r="D10" s="13" t="s">
        <v>506</v>
      </c>
    </row>
    <row r="13" spans="2:4" ht="19" x14ac:dyDescent="0.2">
      <c r="B13" s="14" t="s">
        <v>507</v>
      </c>
    </row>
    <row r="15" spans="2:4" ht="16" x14ac:dyDescent="0.2">
      <c r="B15" s="12" t="s">
        <v>508</v>
      </c>
      <c r="C15" s="12" t="s">
        <v>509</v>
      </c>
      <c r="D15" s="12" t="s">
        <v>510</v>
      </c>
    </row>
    <row r="16" spans="2:4" ht="64" x14ac:dyDescent="0.2">
      <c r="B16" s="25" t="s">
        <v>511</v>
      </c>
      <c r="C16" s="13" t="s">
        <v>512</v>
      </c>
      <c r="D16" s="13" t="s">
        <v>513</v>
      </c>
    </row>
    <row r="17" spans="2:4" ht="64" x14ac:dyDescent="0.2">
      <c r="B17" s="25"/>
      <c r="C17" s="13"/>
      <c r="D17" s="13" t="s">
        <v>514</v>
      </c>
    </row>
    <row r="18" spans="2:4" ht="32" x14ac:dyDescent="0.2">
      <c r="B18" s="25"/>
      <c r="C18" s="13"/>
      <c r="D18" s="13" t="s">
        <v>515</v>
      </c>
    </row>
    <row r="19" spans="2:4" ht="48" x14ac:dyDescent="0.2">
      <c r="B19" s="25"/>
      <c r="C19" s="13"/>
      <c r="D19" s="13" t="s">
        <v>516</v>
      </c>
    </row>
    <row r="20" spans="2:4" ht="48" x14ac:dyDescent="0.2">
      <c r="B20" s="25" t="s">
        <v>517</v>
      </c>
      <c r="C20" s="13" t="s">
        <v>518</v>
      </c>
      <c r="D20" s="13" t="s">
        <v>519</v>
      </c>
    </row>
    <row r="21" spans="2:4" ht="32" x14ac:dyDescent="0.2">
      <c r="B21" s="25"/>
      <c r="C21" s="13"/>
      <c r="D21" s="13" t="s">
        <v>520</v>
      </c>
    </row>
    <row r="22" spans="2:4" ht="32" x14ac:dyDescent="0.2">
      <c r="B22" s="25"/>
      <c r="C22" s="13"/>
      <c r="D22" s="13" t="s">
        <v>521</v>
      </c>
    </row>
    <row r="23" spans="2:4" ht="48" x14ac:dyDescent="0.2">
      <c r="B23" s="25" t="s">
        <v>522</v>
      </c>
      <c r="C23" s="13" t="s">
        <v>523</v>
      </c>
      <c r="D23" s="13" t="s">
        <v>524</v>
      </c>
    </row>
    <row r="24" spans="2:4" ht="48" x14ac:dyDescent="0.2">
      <c r="B24" s="25" t="s">
        <v>525</v>
      </c>
      <c r="C24" s="13" t="s">
        <v>526</v>
      </c>
      <c r="D24" s="13" t="s">
        <v>527</v>
      </c>
    </row>
    <row r="25" spans="2:4" ht="48" x14ac:dyDescent="0.2">
      <c r="B25" s="25" t="s">
        <v>528</v>
      </c>
      <c r="C25" s="13" t="s">
        <v>529</v>
      </c>
      <c r="D25" s="13" t="s">
        <v>530</v>
      </c>
    </row>
    <row r="26" spans="2:4" ht="48" x14ac:dyDescent="0.2">
      <c r="B26" s="25" t="s">
        <v>531</v>
      </c>
      <c r="C26" s="13" t="s">
        <v>532</v>
      </c>
      <c r="D26" s="13" t="s">
        <v>533</v>
      </c>
    </row>
    <row r="27" spans="2:4" ht="48" x14ac:dyDescent="0.2">
      <c r="B27" s="25" t="s">
        <v>534</v>
      </c>
      <c r="C27" s="13" t="s">
        <v>535</v>
      </c>
      <c r="D27" s="13" t="s">
        <v>536</v>
      </c>
    </row>
  </sheetData>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671AE-0CF9-4249-AFD1-1FD835661D3A}">
  <dimension ref="B2:D83"/>
  <sheetViews>
    <sheetView topLeftCell="A41" zoomScale="145" zoomScaleNormal="145" workbookViewId="0">
      <selection activeCell="B31" sqref="B31"/>
    </sheetView>
  </sheetViews>
  <sheetFormatPr baseColWidth="10" defaultColWidth="8.83203125" defaultRowHeight="15" x14ac:dyDescent="0.2"/>
  <cols>
    <col min="2" max="2" width="92.83203125" customWidth="1"/>
  </cols>
  <sheetData>
    <row r="2" spans="2:4" x14ac:dyDescent="0.2">
      <c r="B2" t="s">
        <v>921</v>
      </c>
      <c r="C2">
        <v>50000</v>
      </c>
    </row>
    <row r="3" spans="2:4" x14ac:dyDescent="0.2">
      <c r="B3" t="s">
        <v>922</v>
      </c>
      <c r="C3" t="s">
        <v>923</v>
      </c>
    </row>
    <row r="4" spans="2:4" x14ac:dyDescent="0.2">
      <c r="B4" t="s">
        <v>925</v>
      </c>
      <c r="C4" t="s">
        <v>924</v>
      </c>
      <c r="D4" t="s">
        <v>926</v>
      </c>
    </row>
    <row r="5" spans="2:4" x14ac:dyDescent="0.2">
      <c r="B5" s="2" t="s">
        <v>927</v>
      </c>
    </row>
    <row r="6" spans="2:4" x14ac:dyDescent="0.2">
      <c r="B6" s="56"/>
    </row>
    <row r="7" spans="2:4" ht="32" x14ac:dyDescent="0.2">
      <c r="B7" s="98" t="s">
        <v>928</v>
      </c>
    </row>
    <row r="8" spans="2:4" ht="32" x14ac:dyDescent="0.2">
      <c r="B8" s="98" t="s">
        <v>929</v>
      </c>
    </row>
    <row r="9" spans="2:4" ht="16" x14ac:dyDescent="0.2">
      <c r="B9" s="98" t="s">
        <v>930</v>
      </c>
    </row>
    <row r="10" spans="2:4" ht="32" x14ac:dyDescent="0.2">
      <c r="B10" s="98" t="s">
        <v>931</v>
      </c>
    </row>
    <row r="12" spans="2:4" ht="16" x14ac:dyDescent="0.2">
      <c r="B12" s="55" t="s">
        <v>932</v>
      </c>
    </row>
    <row r="13" spans="2:4" ht="32" x14ac:dyDescent="0.2">
      <c r="B13" s="1" t="s">
        <v>933</v>
      </c>
    </row>
    <row r="15" spans="2:4" ht="16" x14ac:dyDescent="0.2">
      <c r="B15" s="55" t="s">
        <v>934</v>
      </c>
    </row>
    <row r="16" spans="2:4" ht="48" x14ac:dyDescent="0.2">
      <c r="B16" s="1" t="s">
        <v>935</v>
      </c>
    </row>
    <row r="17" spans="2:2" x14ac:dyDescent="0.2">
      <c r="B17" s="1"/>
    </row>
    <row r="18" spans="2:2" ht="31" x14ac:dyDescent="0.2">
      <c r="B18" s="99" t="s">
        <v>936</v>
      </c>
    </row>
    <row r="19" spans="2:2" ht="32" x14ac:dyDescent="0.2">
      <c r="B19" s="1" t="s">
        <v>937</v>
      </c>
    </row>
    <row r="20" spans="2:2" x14ac:dyDescent="0.2">
      <c r="B20" s="1"/>
    </row>
    <row r="21" spans="2:2" ht="31" x14ac:dyDescent="0.2">
      <c r="B21" s="99" t="s">
        <v>938</v>
      </c>
    </row>
    <row r="22" spans="2:2" ht="176" x14ac:dyDescent="0.2">
      <c r="B22" s="1" t="s">
        <v>939</v>
      </c>
    </row>
    <row r="23" spans="2:2" x14ac:dyDescent="0.2">
      <c r="B23" s="1"/>
    </row>
    <row r="24" spans="2:2" ht="16" x14ac:dyDescent="0.2">
      <c r="B24" s="55" t="s">
        <v>940</v>
      </c>
    </row>
    <row r="25" spans="2:2" ht="240" x14ac:dyDescent="0.2">
      <c r="B25" s="1" t="s">
        <v>941</v>
      </c>
    </row>
    <row r="26" spans="2:2" x14ac:dyDescent="0.2">
      <c r="B26" s="1"/>
    </row>
    <row r="27" spans="2:2" x14ac:dyDescent="0.2">
      <c r="B27" s="1"/>
    </row>
    <row r="28" spans="2:2" x14ac:dyDescent="0.2">
      <c r="B28" s="1"/>
    </row>
    <row r="29" spans="2:2" x14ac:dyDescent="0.2">
      <c r="B29" s="1"/>
    </row>
    <row r="30" spans="2:2" x14ac:dyDescent="0.2">
      <c r="B30" s="1"/>
    </row>
    <row r="31" spans="2:2" x14ac:dyDescent="0.2">
      <c r="B31" s="1"/>
    </row>
    <row r="34" spans="2:2" x14ac:dyDescent="0.2">
      <c r="B34" s="75" t="s">
        <v>636</v>
      </c>
    </row>
    <row r="35" spans="2:2" x14ac:dyDescent="0.2">
      <c r="B35" s="35"/>
    </row>
    <row r="36" spans="2:2" x14ac:dyDescent="0.2">
      <c r="B36" s="75" t="s">
        <v>635</v>
      </c>
    </row>
    <row r="37" spans="2:2" ht="48" x14ac:dyDescent="0.2">
      <c r="B37" s="73" t="s">
        <v>634</v>
      </c>
    </row>
    <row r="38" spans="2:2" x14ac:dyDescent="0.2">
      <c r="B38" s="73"/>
    </row>
    <row r="39" spans="2:2" ht="48" x14ac:dyDescent="0.2">
      <c r="B39" s="73" t="s">
        <v>633</v>
      </c>
    </row>
    <row r="40" spans="2:2" x14ac:dyDescent="0.2">
      <c r="B40" s="73"/>
    </row>
    <row r="41" spans="2:2" ht="32" x14ac:dyDescent="0.2">
      <c r="B41" s="73" t="s">
        <v>632</v>
      </c>
    </row>
    <row r="42" spans="2:2" x14ac:dyDescent="0.2">
      <c r="B42" s="73"/>
    </row>
    <row r="43" spans="2:2" ht="16" x14ac:dyDescent="0.2">
      <c r="B43" s="73" t="s">
        <v>631</v>
      </c>
    </row>
    <row r="44" spans="2:2" x14ac:dyDescent="0.2">
      <c r="B44" s="73"/>
    </row>
    <row r="45" spans="2:2" ht="16" x14ac:dyDescent="0.2">
      <c r="B45" s="73" t="s">
        <v>630</v>
      </c>
    </row>
    <row r="46" spans="2:2" x14ac:dyDescent="0.2">
      <c r="B46" s="74"/>
    </row>
    <row r="47" spans="2:2" ht="16" x14ac:dyDescent="0.2">
      <c r="B47" s="74" t="s">
        <v>628</v>
      </c>
    </row>
    <row r="48" spans="2:2" ht="16" x14ac:dyDescent="0.2">
      <c r="B48" s="74" t="s">
        <v>627</v>
      </c>
    </row>
    <row r="49" spans="2:2" x14ac:dyDescent="0.2">
      <c r="B49" s="73"/>
    </row>
    <row r="50" spans="2:2" ht="16" x14ac:dyDescent="0.2">
      <c r="B50" s="73" t="s">
        <v>629</v>
      </c>
    </row>
    <row r="51" spans="2:2" x14ac:dyDescent="0.2">
      <c r="B51" s="74"/>
    </row>
    <row r="52" spans="2:2" ht="16" x14ac:dyDescent="0.2">
      <c r="B52" s="74" t="s">
        <v>628</v>
      </c>
    </row>
    <row r="53" spans="2:2" ht="16" x14ac:dyDescent="0.2">
      <c r="B53" s="74" t="s">
        <v>627</v>
      </c>
    </row>
    <row r="54" spans="2:2" ht="16" x14ac:dyDescent="0.2">
      <c r="B54" s="74" t="s">
        <v>626</v>
      </c>
    </row>
    <row r="55" spans="2:2" x14ac:dyDescent="0.2">
      <c r="B55" s="73"/>
    </row>
    <row r="56" spans="2:2" ht="16" x14ac:dyDescent="0.2">
      <c r="B56" s="73" t="s">
        <v>625</v>
      </c>
    </row>
    <row r="57" spans="2:2" x14ac:dyDescent="0.2">
      <c r="B57" s="73"/>
    </row>
    <row r="58" spans="2:2" ht="32" x14ac:dyDescent="0.2">
      <c r="B58" s="73" t="s">
        <v>624</v>
      </c>
    </row>
    <row r="59" spans="2:2" x14ac:dyDescent="0.2">
      <c r="B59" s="73"/>
    </row>
    <row r="60" spans="2:2" ht="32" x14ac:dyDescent="0.2">
      <c r="B60" s="73" t="s">
        <v>623</v>
      </c>
    </row>
    <row r="63" spans="2:2" ht="32" x14ac:dyDescent="0.2">
      <c r="B63" s="1" t="s">
        <v>622</v>
      </c>
    </row>
    <row r="64" spans="2:2" x14ac:dyDescent="0.2">
      <c r="B64" s="1"/>
    </row>
    <row r="65" spans="2:2" ht="20" x14ac:dyDescent="0.2">
      <c r="B65" s="59" t="s">
        <v>621</v>
      </c>
    </row>
    <row r="66" spans="2:2" x14ac:dyDescent="0.2">
      <c r="B66" s="60"/>
    </row>
    <row r="67" spans="2:2" ht="32" x14ac:dyDescent="0.2">
      <c r="B67" s="61" t="s">
        <v>620</v>
      </c>
    </row>
    <row r="68" spans="2:2" ht="32" x14ac:dyDescent="0.2">
      <c r="B68" s="61" t="s">
        <v>619</v>
      </c>
    </row>
    <row r="69" spans="2:2" ht="32" x14ac:dyDescent="0.2">
      <c r="B69" s="61" t="s">
        <v>618</v>
      </c>
    </row>
    <row r="70" spans="2:2" x14ac:dyDescent="0.2">
      <c r="B70" s="1"/>
    </row>
    <row r="71" spans="2:2" ht="20" x14ac:dyDescent="0.2">
      <c r="B71" s="59" t="s">
        <v>617</v>
      </c>
    </row>
    <row r="72" spans="2:2" x14ac:dyDescent="0.2">
      <c r="B72" s="60"/>
    </row>
    <row r="73" spans="2:2" ht="16" x14ac:dyDescent="0.2">
      <c r="B73" s="61" t="s">
        <v>616</v>
      </c>
    </row>
    <row r="74" spans="2:2" ht="48" x14ac:dyDescent="0.2">
      <c r="B74" s="61" t="s">
        <v>615</v>
      </c>
    </row>
    <row r="75" spans="2:2" ht="32" x14ac:dyDescent="0.2">
      <c r="B75" s="61" t="s">
        <v>614</v>
      </c>
    </row>
    <row r="76" spans="2:2" x14ac:dyDescent="0.2">
      <c r="B76" s="1"/>
    </row>
    <row r="77" spans="2:2" ht="20" x14ac:dyDescent="0.2">
      <c r="B77" s="59" t="s">
        <v>613</v>
      </c>
    </row>
    <row r="78" spans="2:2" x14ac:dyDescent="0.2">
      <c r="B78" s="60"/>
    </row>
    <row r="79" spans="2:2" ht="32" x14ac:dyDescent="0.2">
      <c r="B79" s="61" t="s">
        <v>612</v>
      </c>
    </row>
    <row r="80" spans="2:2" ht="32" x14ac:dyDescent="0.2">
      <c r="B80" s="61" t="s">
        <v>611</v>
      </c>
    </row>
    <row r="81" spans="2:2" ht="32" x14ac:dyDescent="0.2">
      <c r="B81" s="61" t="s">
        <v>610</v>
      </c>
    </row>
    <row r="82" spans="2:2" x14ac:dyDescent="0.2">
      <c r="B82" s="1"/>
    </row>
    <row r="83" spans="2:2" ht="48" x14ac:dyDescent="0.2">
      <c r="B83" s="1" t="s">
        <v>609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0FCF0-473E-4265-B88E-A2656D93D2CD}">
  <dimension ref="B2:E9"/>
  <sheetViews>
    <sheetView topLeftCell="A13" zoomScale="160" zoomScaleNormal="160" workbookViewId="0">
      <selection activeCell="C3" sqref="C3:C9"/>
    </sheetView>
  </sheetViews>
  <sheetFormatPr baseColWidth="10" defaultColWidth="9.1640625" defaultRowHeight="15" x14ac:dyDescent="0.2"/>
  <cols>
    <col min="1" max="1" width="2" style="37" customWidth="1"/>
    <col min="2" max="2" width="9.1640625" style="37"/>
    <col min="3" max="3" width="47.5" style="38" customWidth="1"/>
    <col min="4" max="4" width="47.83203125" style="38" customWidth="1"/>
    <col min="5" max="5" width="17.5" style="37" customWidth="1"/>
    <col min="6" max="16384" width="9.1640625" style="37"/>
  </cols>
  <sheetData>
    <row r="2" spans="2:5" ht="16" x14ac:dyDescent="0.2">
      <c r="B2" s="47" t="s">
        <v>0</v>
      </c>
      <c r="C2" s="48" t="s">
        <v>210</v>
      </c>
      <c r="D2" s="48" t="s">
        <v>211</v>
      </c>
      <c r="E2" s="37" t="s">
        <v>212</v>
      </c>
    </row>
    <row r="3" spans="2:5" ht="80" x14ac:dyDescent="0.2">
      <c r="B3" s="49">
        <v>1</v>
      </c>
      <c r="C3" s="52" t="s">
        <v>213</v>
      </c>
      <c r="D3" s="50" t="s">
        <v>220</v>
      </c>
      <c r="E3" s="39" t="s">
        <v>217</v>
      </c>
    </row>
    <row r="4" spans="2:5" ht="32" x14ac:dyDescent="0.2">
      <c r="B4" s="49">
        <v>2</v>
      </c>
      <c r="C4" s="52" t="s">
        <v>215</v>
      </c>
      <c r="D4" s="50" t="s">
        <v>216</v>
      </c>
    </row>
    <row r="5" spans="2:5" ht="16" x14ac:dyDescent="0.2">
      <c r="B5" s="49">
        <v>3</v>
      </c>
      <c r="C5" s="52" t="s">
        <v>214</v>
      </c>
      <c r="D5" s="50"/>
    </row>
    <row r="6" spans="2:5" ht="48" x14ac:dyDescent="0.2">
      <c r="B6" s="49">
        <v>4</v>
      </c>
      <c r="C6" s="52" t="s">
        <v>218</v>
      </c>
      <c r="D6" s="50" t="s">
        <v>219</v>
      </c>
    </row>
    <row r="7" spans="2:5" ht="48" x14ac:dyDescent="0.2">
      <c r="B7" s="49">
        <v>5</v>
      </c>
      <c r="C7" s="52" t="s">
        <v>221</v>
      </c>
      <c r="D7" s="50" t="s">
        <v>222</v>
      </c>
      <c r="E7" s="36" t="s">
        <v>223</v>
      </c>
    </row>
    <row r="8" spans="2:5" ht="64" x14ac:dyDescent="0.2">
      <c r="B8" s="49">
        <v>6</v>
      </c>
      <c r="C8" s="52" t="s">
        <v>224</v>
      </c>
      <c r="D8" s="50" t="s">
        <v>225</v>
      </c>
    </row>
    <row r="9" spans="2:5" ht="112" x14ac:dyDescent="0.2">
      <c r="B9" s="49">
        <v>7</v>
      </c>
      <c r="C9" s="52" t="s">
        <v>226</v>
      </c>
      <c r="D9" s="51" t="s">
        <v>273</v>
      </c>
    </row>
  </sheetData>
  <hyperlinks>
    <hyperlink ref="E3" r:id="rId1" display="https://goldenfortune.ae/assistance-in-vat-accounting/" xr:uid="{1C199E75-0C55-42B4-8376-7CF5A338BC61}"/>
    <hyperlink ref="E7" r:id="rId2" display="https://goldenfortune.ae/about-us/" xr:uid="{B6079BAF-D04A-45CA-9F93-251A841D25A2}"/>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D9775-214C-4B05-AD62-B77CDA51DC35}">
  <dimension ref="B2:D117"/>
  <sheetViews>
    <sheetView topLeftCell="A110" zoomScale="160" zoomScaleNormal="160" workbookViewId="0">
      <selection activeCell="C121" sqref="C121"/>
    </sheetView>
  </sheetViews>
  <sheetFormatPr baseColWidth="10" defaultColWidth="8.83203125" defaultRowHeight="15" x14ac:dyDescent="0.2"/>
  <cols>
    <col min="3" max="3" width="106.1640625" customWidth="1"/>
    <col min="4" max="4" width="10.5" bestFit="1" customWidth="1"/>
  </cols>
  <sheetData>
    <row r="2" spans="2:4" x14ac:dyDescent="0.2">
      <c r="B2" t="s">
        <v>804</v>
      </c>
      <c r="C2" t="s">
        <v>210</v>
      </c>
      <c r="D2" t="s">
        <v>805</v>
      </c>
    </row>
    <row r="3" spans="2:4" x14ac:dyDescent="0.2">
      <c r="C3" s="2" t="s">
        <v>806</v>
      </c>
    </row>
    <row r="4" spans="2:4" ht="48" x14ac:dyDescent="0.2">
      <c r="C4" s="1" t="s">
        <v>807</v>
      </c>
    </row>
    <row r="5" spans="2:4" ht="208" x14ac:dyDescent="0.2">
      <c r="C5" s="1" t="s">
        <v>853</v>
      </c>
    </row>
    <row r="7" spans="2:4" x14ac:dyDescent="0.2">
      <c r="C7" t="s">
        <v>808</v>
      </c>
    </row>
    <row r="8" spans="2:4" ht="48" x14ac:dyDescent="0.2">
      <c r="C8" s="1" t="s">
        <v>809</v>
      </c>
    </row>
    <row r="10" spans="2:4" x14ac:dyDescent="0.2">
      <c r="C10" t="s">
        <v>810</v>
      </c>
    </row>
    <row r="11" spans="2:4" ht="48" x14ac:dyDescent="0.2">
      <c r="C11" s="1" t="s">
        <v>811</v>
      </c>
    </row>
    <row r="13" spans="2:4" x14ac:dyDescent="0.2">
      <c r="C13" t="s">
        <v>812</v>
      </c>
    </row>
    <row r="14" spans="2:4" x14ac:dyDescent="0.2">
      <c r="C14" t="s">
        <v>813</v>
      </c>
    </row>
    <row r="16" spans="2:4" x14ac:dyDescent="0.2">
      <c r="C16" t="s">
        <v>814</v>
      </c>
    </row>
    <row r="17" spans="3:3" x14ac:dyDescent="0.2">
      <c r="C17" t="s">
        <v>815</v>
      </c>
    </row>
    <row r="19" spans="3:3" x14ac:dyDescent="0.2">
      <c r="C19" t="s">
        <v>816</v>
      </c>
    </row>
    <row r="20" spans="3:3" x14ac:dyDescent="0.2">
      <c r="C20" t="s">
        <v>817</v>
      </c>
    </row>
    <row r="23" spans="3:3" x14ac:dyDescent="0.2">
      <c r="C23" s="2" t="s">
        <v>818</v>
      </c>
    </row>
    <row r="24" spans="3:3" x14ac:dyDescent="0.2">
      <c r="C24" t="s">
        <v>819</v>
      </c>
    </row>
    <row r="25" spans="3:3" x14ac:dyDescent="0.2">
      <c r="C25" t="s">
        <v>820</v>
      </c>
    </row>
    <row r="26" spans="3:3" x14ac:dyDescent="0.2">
      <c r="C26" s="56"/>
    </row>
    <row r="27" spans="3:3" x14ac:dyDescent="0.2">
      <c r="C27" s="56" t="s">
        <v>821</v>
      </c>
    </row>
    <row r="28" spans="3:3" x14ac:dyDescent="0.2">
      <c r="C28" s="56" t="s">
        <v>822</v>
      </c>
    </row>
    <row r="29" spans="3:3" x14ac:dyDescent="0.2">
      <c r="C29" s="56" t="s">
        <v>823</v>
      </c>
    </row>
    <row r="31" spans="3:3" x14ac:dyDescent="0.2">
      <c r="C31" s="2" t="s">
        <v>824</v>
      </c>
    </row>
    <row r="32" spans="3:3" x14ac:dyDescent="0.2">
      <c r="C32" s="56"/>
    </row>
    <row r="33" spans="3:3" x14ac:dyDescent="0.2">
      <c r="C33" s="56" t="s">
        <v>825</v>
      </c>
    </row>
    <row r="34" spans="3:3" x14ac:dyDescent="0.2">
      <c r="C34" s="56" t="s">
        <v>826</v>
      </c>
    </row>
    <row r="36" spans="3:3" x14ac:dyDescent="0.2">
      <c r="C36" s="2" t="s">
        <v>827</v>
      </c>
    </row>
    <row r="37" spans="3:3" x14ac:dyDescent="0.2">
      <c r="C37" s="56"/>
    </row>
    <row r="38" spans="3:3" x14ac:dyDescent="0.2">
      <c r="C38" s="56" t="s">
        <v>828</v>
      </c>
    </row>
    <row r="39" spans="3:3" x14ac:dyDescent="0.2">
      <c r="C39" s="56" t="s">
        <v>829</v>
      </c>
    </row>
    <row r="40" spans="3:3" x14ac:dyDescent="0.2">
      <c r="C40" s="79" t="s">
        <v>830</v>
      </c>
    </row>
    <row r="41" spans="3:3" x14ac:dyDescent="0.2">
      <c r="C41" s="79" t="s">
        <v>831</v>
      </c>
    </row>
    <row r="42" spans="3:3" x14ac:dyDescent="0.2">
      <c r="C42" s="79" t="s">
        <v>832</v>
      </c>
    </row>
    <row r="43" spans="3:3" x14ac:dyDescent="0.2">
      <c r="C43" s="79" t="s">
        <v>833</v>
      </c>
    </row>
    <row r="44" spans="3:3" x14ac:dyDescent="0.2">
      <c r="C44" s="56" t="s">
        <v>834</v>
      </c>
    </row>
    <row r="46" spans="3:3" x14ac:dyDescent="0.2">
      <c r="C46" s="2" t="s">
        <v>835</v>
      </c>
    </row>
    <row r="47" spans="3:3" x14ac:dyDescent="0.2">
      <c r="C47" s="56"/>
    </row>
    <row r="48" spans="3:3" x14ac:dyDescent="0.2">
      <c r="C48" s="56" t="s">
        <v>836</v>
      </c>
    </row>
    <row r="49" spans="3:3" x14ac:dyDescent="0.2">
      <c r="C49" s="79" t="s">
        <v>837</v>
      </c>
    </row>
    <row r="50" spans="3:3" x14ac:dyDescent="0.2">
      <c r="C50" s="79" t="s">
        <v>838</v>
      </c>
    </row>
    <row r="51" spans="3:3" x14ac:dyDescent="0.2">
      <c r="C51" s="79" t="s">
        <v>839</v>
      </c>
    </row>
    <row r="52" spans="3:3" x14ac:dyDescent="0.2">
      <c r="C52" s="56" t="s">
        <v>840</v>
      </c>
    </row>
    <row r="54" spans="3:3" x14ac:dyDescent="0.2">
      <c r="C54" s="2" t="s">
        <v>841</v>
      </c>
    </row>
    <row r="55" spans="3:3" x14ac:dyDescent="0.2">
      <c r="C55" s="56"/>
    </row>
    <row r="56" spans="3:3" x14ac:dyDescent="0.2">
      <c r="C56" s="57" t="s">
        <v>842</v>
      </c>
    </row>
    <row r="57" spans="3:3" x14ac:dyDescent="0.2">
      <c r="C57" s="79" t="s">
        <v>843</v>
      </c>
    </row>
    <row r="58" spans="3:3" x14ac:dyDescent="0.2">
      <c r="C58" s="79" t="s">
        <v>844</v>
      </c>
    </row>
    <row r="59" spans="3:3" ht="32" x14ac:dyDescent="0.2">
      <c r="C59" s="92" t="s">
        <v>854</v>
      </c>
    </row>
    <row r="61" spans="3:3" x14ac:dyDescent="0.2">
      <c r="C61" s="2" t="s">
        <v>845</v>
      </c>
    </row>
    <row r="62" spans="3:3" x14ac:dyDescent="0.2">
      <c r="C62" s="56"/>
    </row>
    <row r="63" spans="3:3" x14ac:dyDescent="0.2">
      <c r="C63" s="56" t="s">
        <v>846</v>
      </c>
    </row>
    <row r="64" spans="3:3" x14ac:dyDescent="0.2">
      <c r="C64" s="56" t="s">
        <v>847</v>
      </c>
    </row>
    <row r="65" spans="3:3" x14ac:dyDescent="0.2">
      <c r="C65" s="58" t="s">
        <v>848</v>
      </c>
    </row>
    <row r="66" spans="3:3" x14ac:dyDescent="0.2">
      <c r="C66" s="58" t="s">
        <v>849</v>
      </c>
    </row>
    <row r="67" spans="3:3" x14ac:dyDescent="0.2">
      <c r="C67" s="91" t="s">
        <v>850</v>
      </c>
    </row>
    <row r="68" spans="3:3" x14ac:dyDescent="0.2">
      <c r="C68" s="79" t="s">
        <v>851</v>
      </c>
    </row>
    <row r="69" spans="3:3" x14ac:dyDescent="0.2">
      <c r="C69" s="79" t="s">
        <v>822</v>
      </c>
    </row>
    <row r="70" spans="3:3" x14ac:dyDescent="0.2">
      <c r="C70" s="79" t="s">
        <v>852</v>
      </c>
    </row>
    <row r="72" spans="3:3" ht="17" x14ac:dyDescent="0.2">
      <c r="C72" s="93" t="s">
        <v>860</v>
      </c>
    </row>
    <row r="73" spans="3:3" x14ac:dyDescent="0.2">
      <c r="C73" s="94" t="s">
        <v>855</v>
      </c>
    </row>
    <row r="74" spans="3:3" x14ac:dyDescent="0.2">
      <c r="C74" s="95" t="s">
        <v>856</v>
      </c>
    </row>
    <row r="75" spans="3:3" x14ac:dyDescent="0.2">
      <c r="C75" s="95" t="s">
        <v>857</v>
      </c>
    </row>
    <row r="76" spans="3:3" x14ac:dyDescent="0.2">
      <c r="C76" s="95" t="s">
        <v>858</v>
      </c>
    </row>
    <row r="77" spans="3:3" x14ac:dyDescent="0.2">
      <c r="C77" s="94" t="s">
        <v>859</v>
      </c>
    </row>
    <row r="80" spans="3:3" x14ac:dyDescent="0.2">
      <c r="C80" t="s">
        <v>861</v>
      </c>
    </row>
    <row r="82" spans="3:3" x14ac:dyDescent="0.2">
      <c r="C82" s="2" t="s">
        <v>862</v>
      </c>
    </row>
    <row r="83" spans="3:3" x14ac:dyDescent="0.2">
      <c r="C83" t="s">
        <v>863</v>
      </c>
    </row>
    <row r="85" spans="3:3" ht="32" x14ac:dyDescent="0.2">
      <c r="C85" s="55" t="s">
        <v>864</v>
      </c>
    </row>
    <row r="86" spans="3:3" x14ac:dyDescent="0.2">
      <c r="C86" s="1"/>
    </row>
    <row r="87" spans="3:3" ht="48" x14ac:dyDescent="0.2">
      <c r="C87" s="55" t="s">
        <v>865</v>
      </c>
    </row>
    <row r="88" spans="3:3" x14ac:dyDescent="0.2">
      <c r="C88" s="1"/>
    </row>
    <row r="89" spans="3:3" ht="64" x14ac:dyDescent="0.2">
      <c r="C89" s="55" t="s">
        <v>866</v>
      </c>
    </row>
    <row r="90" spans="3:3" x14ac:dyDescent="0.2">
      <c r="C90" s="1"/>
    </row>
    <row r="91" spans="3:3" ht="48" x14ac:dyDescent="0.2">
      <c r="C91" s="55" t="s">
        <v>867</v>
      </c>
    </row>
    <row r="92" spans="3:3" x14ac:dyDescent="0.2">
      <c r="C92" s="1"/>
    </row>
    <row r="93" spans="3:3" ht="48" x14ac:dyDescent="0.2">
      <c r="C93" s="55" t="s">
        <v>868</v>
      </c>
    </row>
    <row r="94" spans="3:3" x14ac:dyDescent="0.2">
      <c r="C94" s="1"/>
    </row>
    <row r="95" spans="3:3" ht="48" x14ac:dyDescent="0.2">
      <c r="C95" s="55" t="s">
        <v>869</v>
      </c>
    </row>
    <row r="96" spans="3:3" x14ac:dyDescent="0.2">
      <c r="C96" s="1"/>
    </row>
    <row r="97" spans="3:3" ht="48" x14ac:dyDescent="0.2">
      <c r="C97" s="55" t="s">
        <v>870</v>
      </c>
    </row>
    <row r="101" spans="3:3" ht="19" x14ac:dyDescent="0.2">
      <c r="C101" s="96" t="s">
        <v>877</v>
      </c>
    </row>
    <row r="102" spans="3:3" x14ac:dyDescent="0.2">
      <c r="C102" t="s">
        <v>871</v>
      </c>
    </row>
    <row r="103" spans="3:3" x14ac:dyDescent="0.2">
      <c r="C103" s="56"/>
    </row>
    <row r="104" spans="3:3" x14ac:dyDescent="0.2">
      <c r="C104" s="57" t="s">
        <v>872</v>
      </c>
    </row>
    <row r="105" spans="3:3" x14ac:dyDescent="0.2">
      <c r="C105" s="57" t="s">
        <v>873</v>
      </c>
    </row>
    <row r="106" spans="3:3" x14ac:dyDescent="0.2">
      <c r="C106" s="57" t="s">
        <v>874</v>
      </c>
    </row>
    <row r="107" spans="3:3" x14ac:dyDescent="0.2">
      <c r="C107" s="57" t="s">
        <v>875</v>
      </c>
    </row>
    <row r="108" spans="3:3" x14ac:dyDescent="0.2">
      <c r="C108" s="57" t="s">
        <v>876</v>
      </c>
    </row>
    <row r="111" spans="3:3" x14ac:dyDescent="0.2">
      <c r="C111" s="2" t="s">
        <v>883</v>
      </c>
    </row>
    <row r="112" spans="3:3" x14ac:dyDescent="0.2">
      <c r="C112" s="56"/>
    </row>
    <row r="113" spans="3:3" x14ac:dyDescent="0.2">
      <c r="C113" s="57" t="s">
        <v>878</v>
      </c>
    </row>
    <row r="114" spans="3:3" x14ac:dyDescent="0.2">
      <c r="C114" s="57" t="s">
        <v>879</v>
      </c>
    </row>
    <row r="115" spans="3:3" x14ac:dyDescent="0.2">
      <c r="C115" s="57" t="s">
        <v>880</v>
      </c>
    </row>
    <row r="116" spans="3:3" x14ac:dyDescent="0.2">
      <c r="C116" s="57" t="s">
        <v>881</v>
      </c>
    </row>
    <row r="117" spans="3:3" x14ac:dyDescent="0.2">
      <c r="C117" s="57" t="s">
        <v>882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0CB28-BC96-4928-A84A-12FE988DA204}">
  <dimension ref="B1:D4"/>
  <sheetViews>
    <sheetView zoomScale="175" zoomScaleNormal="175" workbookViewId="0">
      <selection activeCell="B7" sqref="B7"/>
    </sheetView>
  </sheetViews>
  <sheetFormatPr baseColWidth="10" defaultColWidth="8.83203125" defaultRowHeight="15" x14ac:dyDescent="0.2"/>
  <cols>
    <col min="2" max="2" width="33.5" bestFit="1" customWidth="1"/>
    <col min="3" max="3" width="18.5" customWidth="1"/>
  </cols>
  <sheetData>
    <row r="1" spans="2:4" x14ac:dyDescent="0.2">
      <c r="B1" t="s">
        <v>208</v>
      </c>
      <c r="C1" t="s">
        <v>209</v>
      </c>
    </row>
    <row r="2" spans="2:4" x14ac:dyDescent="0.2">
      <c r="B2" t="s">
        <v>204</v>
      </c>
      <c r="C2" s="35">
        <f>190565+77537+19306+18746+3067+35778+56876+18270+11234+12112</f>
        <v>443491</v>
      </c>
      <c r="D2" t="s">
        <v>205</v>
      </c>
    </row>
    <row r="3" spans="2:4" x14ac:dyDescent="0.2">
      <c r="B3" t="s">
        <v>206</v>
      </c>
      <c r="C3" s="35">
        <f>9084+1872+672+459+422+397+419+123+104+184</f>
        <v>13736</v>
      </c>
      <c r="D3" t="s">
        <v>205</v>
      </c>
    </row>
    <row r="4" spans="2:4" x14ac:dyDescent="0.2">
      <c r="B4" t="s">
        <v>207</v>
      </c>
      <c r="C4" s="35">
        <f>386+126+270+341+221+309+217+35+36+50</f>
        <v>1991</v>
      </c>
      <c r="D4" t="s">
        <v>205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05F31-999C-4D93-879E-B79A53AAD037}">
  <dimension ref="B1:E72"/>
  <sheetViews>
    <sheetView topLeftCell="A13" zoomScale="130" zoomScaleNormal="130" workbookViewId="0">
      <selection activeCell="B65" sqref="B65"/>
    </sheetView>
  </sheetViews>
  <sheetFormatPr baseColWidth="10" defaultColWidth="8.83203125" defaultRowHeight="15" x14ac:dyDescent="0.2"/>
  <cols>
    <col min="3" max="3" width="100.5" customWidth="1"/>
    <col min="4" max="4" width="33.83203125" customWidth="1"/>
    <col min="5" max="5" width="23.83203125" customWidth="1"/>
  </cols>
  <sheetData>
    <row r="1" spans="2:3" x14ac:dyDescent="0.2">
      <c r="B1" t="s">
        <v>544</v>
      </c>
    </row>
    <row r="2" spans="2:3" x14ac:dyDescent="0.2">
      <c r="B2" t="s">
        <v>0</v>
      </c>
      <c r="C2" t="s">
        <v>543</v>
      </c>
    </row>
    <row r="3" spans="2:3" x14ac:dyDescent="0.2">
      <c r="B3" s="2">
        <v>26</v>
      </c>
      <c r="C3" s="2" t="s">
        <v>546</v>
      </c>
    </row>
    <row r="4" spans="2:3" ht="176" x14ac:dyDescent="0.2">
      <c r="C4" s="1" t="s">
        <v>545</v>
      </c>
    </row>
    <row r="5" spans="2:3" x14ac:dyDescent="0.2">
      <c r="C5" s="1"/>
    </row>
    <row r="6" spans="2:3" x14ac:dyDescent="0.2">
      <c r="B6" s="2">
        <v>27</v>
      </c>
      <c r="C6" s="2" t="s">
        <v>547</v>
      </c>
    </row>
    <row r="7" spans="2:3" ht="240" x14ac:dyDescent="0.2">
      <c r="C7" s="1" t="s">
        <v>548</v>
      </c>
    </row>
    <row r="9" spans="2:3" x14ac:dyDescent="0.2">
      <c r="B9">
        <v>28</v>
      </c>
      <c r="C9" t="s">
        <v>549</v>
      </c>
    </row>
    <row r="10" spans="2:3" ht="96" x14ac:dyDescent="0.2">
      <c r="C10" s="1" t="s">
        <v>550</v>
      </c>
    </row>
    <row r="12" spans="2:3" x14ac:dyDescent="0.2">
      <c r="B12">
        <v>29</v>
      </c>
      <c r="C12" t="s">
        <v>551</v>
      </c>
    </row>
    <row r="13" spans="2:3" ht="208" x14ac:dyDescent="0.2">
      <c r="C13" s="1" t="s">
        <v>552</v>
      </c>
    </row>
    <row r="15" spans="2:3" x14ac:dyDescent="0.2">
      <c r="B15">
        <v>71</v>
      </c>
      <c r="C15" t="s">
        <v>553</v>
      </c>
    </row>
    <row r="16" spans="2:3" ht="96" x14ac:dyDescent="0.2">
      <c r="C16" s="1" t="s">
        <v>554</v>
      </c>
    </row>
    <row r="19" spans="2:3" x14ac:dyDescent="0.2">
      <c r="B19">
        <v>87</v>
      </c>
      <c r="C19" t="s">
        <v>567</v>
      </c>
    </row>
    <row r="20" spans="2:3" ht="64" x14ac:dyDescent="0.2">
      <c r="C20" s="1" t="s">
        <v>555</v>
      </c>
    </row>
    <row r="22" spans="2:3" x14ac:dyDescent="0.2">
      <c r="B22">
        <v>88</v>
      </c>
      <c r="C22" t="s">
        <v>568</v>
      </c>
    </row>
    <row r="23" spans="2:3" ht="128" x14ac:dyDescent="0.2">
      <c r="C23" s="1" t="s">
        <v>556</v>
      </c>
    </row>
    <row r="25" spans="2:3" x14ac:dyDescent="0.2">
      <c r="B25">
        <v>102</v>
      </c>
      <c r="C25" t="s">
        <v>569</v>
      </c>
    </row>
    <row r="26" spans="2:3" ht="80" x14ac:dyDescent="0.2">
      <c r="C26" s="1" t="s">
        <v>571</v>
      </c>
    </row>
    <row r="28" spans="2:3" x14ac:dyDescent="0.2">
      <c r="B28">
        <v>103</v>
      </c>
      <c r="C28" t="s">
        <v>570</v>
      </c>
    </row>
    <row r="29" spans="2:3" x14ac:dyDescent="0.2">
      <c r="C29" t="s">
        <v>557</v>
      </c>
    </row>
    <row r="32" spans="2:3" x14ac:dyDescent="0.2">
      <c r="B32">
        <v>171</v>
      </c>
      <c r="C32" t="s">
        <v>558</v>
      </c>
    </row>
    <row r="33" spans="2:3" ht="224" x14ac:dyDescent="0.2">
      <c r="C33" s="1" t="s">
        <v>559</v>
      </c>
    </row>
    <row r="35" spans="2:3" x14ac:dyDescent="0.2">
      <c r="B35">
        <v>195</v>
      </c>
      <c r="C35" t="s">
        <v>560</v>
      </c>
    </row>
    <row r="36" spans="2:3" x14ac:dyDescent="0.2">
      <c r="C36" t="s">
        <v>561</v>
      </c>
    </row>
    <row r="38" spans="2:3" x14ac:dyDescent="0.2">
      <c r="B38" t="s">
        <v>562</v>
      </c>
      <c r="C38" t="s">
        <v>563</v>
      </c>
    </row>
    <row r="39" spans="2:3" ht="128" x14ac:dyDescent="0.2">
      <c r="C39" s="1" t="s">
        <v>564</v>
      </c>
    </row>
    <row r="41" spans="2:3" x14ac:dyDescent="0.2">
      <c r="B41">
        <v>241</v>
      </c>
      <c r="C41" t="s">
        <v>565</v>
      </c>
    </row>
    <row r="42" spans="2:3" ht="128" x14ac:dyDescent="0.2">
      <c r="C42" s="1" t="s">
        <v>566</v>
      </c>
    </row>
    <row r="44" spans="2:3" x14ac:dyDescent="0.2">
      <c r="B44">
        <v>246</v>
      </c>
      <c r="C44" t="s">
        <v>572</v>
      </c>
    </row>
    <row r="45" spans="2:3" ht="208" x14ac:dyDescent="0.2">
      <c r="C45" s="1" t="s">
        <v>573</v>
      </c>
    </row>
    <row r="47" spans="2:3" x14ac:dyDescent="0.2">
      <c r="B47" t="s">
        <v>574</v>
      </c>
      <c r="C47" t="s">
        <v>575</v>
      </c>
    </row>
    <row r="48" spans="2:3" ht="48" x14ac:dyDescent="0.2">
      <c r="C48" s="1" t="s">
        <v>576</v>
      </c>
    </row>
    <row r="50" spans="2:3" x14ac:dyDescent="0.2">
      <c r="B50">
        <v>257</v>
      </c>
      <c r="C50" t="s">
        <v>577</v>
      </c>
    </row>
    <row r="51" spans="2:3" ht="256" x14ac:dyDescent="0.2">
      <c r="C51" s="1" t="s">
        <v>578</v>
      </c>
    </row>
    <row r="53" spans="2:3" x14ac:dyDescent="0.2">
      <c r="B53">
        <v>258</v>
      </c>
      <c r="C53" t="s">
        <v>579</v>
      </c>
    </row>
    <row r="54" spans="2:3" ht="96" x14ac:dyDescent="0.2">
      <c r="C54" s="1" t="s">
        <v>580</v>
      </c>
    </row>
    <row r="57" spans="2:3" x14ac:dyDescent="0.2">
      <c r="B57" t="s">
        <v>581</v>
      </c>
    </row>
    <row r="58" spans="2:3" ht="45" x14ac:dyDescent="0.2">
      <c r="B58">
        <v>1</v>
      </c>
      <c r="C58" s="62" t="s">
        <v>582</v>
      </c>
    </row>
    <row r="59" spans="2:3" ht="75" x14ac:dyDescent="0.2">
      <c r="B59">
        <v>2</v>
      </c>
      <c r="C59" s="72" t="s">
        <v>603</v>
      </c>
    </row>
    <row r="60" spans="2:3" ht="30" x14ac:dyDescent="0.2">
      <c r="B60">
        <v>3</v>
      </c>
      <c r="C60" s="72" t="s">
        <v>604</v>
      </c>
    </row>
    <row r="61" spans="2:3" ht="30" x14ac:dyDescent="0.2">
      <c r="B61">
        <v>4</v>
      </c>
      <c r="C61" s="72" t="s">
        <v>605</v>
      </c>
    </row>
    <row r="62" spans="2:3" x14ac:dyDescent="0.2">
      <c r="B62">
        <v>5</v>
      </c>
      <c r="C62" s="72" t="s">
        <v>606</v>
      </c>
    </row>
    <row r="63" spans="2:3" x14ac:dyDescent="0.2">
      <c r="B63">
        <v>6</v>
      </c>
      <c r="C63" s="72" t="s">
        <v>607</v>
      </c>
    </row>
    <row r="64" spans="2:3" x14ac:dyDescent="0.2">
      <c r="B64">
        <v>7</v>
      </c>
      <c r="C64" s="72" t="s">
        <v>608</v>
      </c>
    </row>
    <row r="65" spans="3:5" ht="16" thickBot="1" x14ac:dyDescent="0.25"/>
    <row r="66" spans="3:5" ht="16" thickBot="1" x14ac:dyDescent="0.25">
      <c r="C66" s="64" t="s">
        <v>583</v>
      </c>
      <c r="D66" s="65" t="s">
        <v>584</v>
      </c>
      <c r="E66" s="66" t="s">
        <v>585</v>
      </c>
    </row>
    <row r="67" spans="3:5" ht="31" thickBot="1" x14ac:dyDescent="0.25">
      <c r="C67" s="67" t="s">
        <v>586</v>
      </c>
      <c r="D67" s="63" t="s">
        <v>587</v>
      </c>
      <c r="E67" s="68" t="s">
        <v>588</v>
      </c>
    </row>
    <row r="68" spans="3:5" ht="31" thickBot="1" x14ac:dyDescent="0.25">
      <c r="C68" s="67" t="s">
        <v>589</v>
      </c>
      <c r="D68" s="63" t="s">
        <v>590</v>
      </c>
      <c r="E68" s="68" t="s">
        <v>591</v>
      </c>
    </row>
    <row r="69" spans="3:5" ht="31" thickBot="1" x14ac:dyDescent="0.25">
      <c r="C69" s="67" t="s">
        <v>592</v>
      </c>
      <c r="D69" s="63" t="s">
        <v>593</v>
      </c>
      <c r="E69" s="68" t="s">
        <v>594</v>
      </c>
    </row>
    <row r="70" spans="3:5" ht="31" thickBot="1" x14ac:dyDescent="0.25">
      <c r="C70" s="67" t="s">
        <v>595</v>
      </c>
      <c r="D70" s="63" t="s">
        <v>596</v>
      </c>
      <c r="E70" s="68" t="s">
        <v>597</v>
      </c>
    </row>
    <row r="71" spans="3:5" ht="31" thickBot="1" x14ac:dyDescent="0.25">
      <c r="C71" s="67" t="s">
        <v>598</v>
      </c>
      <c r="D71" s="63" t="s">
        <v>599</v>
      </c>
      <c r="E71" s="68" t="s">
        <v>600</v>
      </c>
    </row>
    <row r="72" spans="3:5" ht="30" x14ac:dyDescent="0.2">
      <c r="C72" s="69" t="s">
        <v>546</v>
      </c>
      <c r="D72" s="70" t="s">
        <v>601</v>
      </c>
      <c r="E72" s="71" t="s">
        <v>602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95BB5-CC8B-451C-94B9-284BCAB6B16B}">
  <dimension ref="B3:F44"/>
  <sheetViews>
    <sheetView zoomScale="130" zoomScaleNormal="130" workbookViewId="0">
      <selection activeCell="B3" sqref="B3"/>
    </sheetView>
  </sheetViews>
  <sheetFormatPr baseColWidth="10" defaultColWidth="8.83203125" defaultRowHeight="16" x14ac:dyDescent="0.2"/>
  <cols>
    <col min="3" max="3" width="113" style="100" customWidth="1"/>
  </cols>
  <sheetData>
    <row r="3" spans="2:6" x14ac:dyDescent="0.2">
      <c r="B3" s="2" t="s">
        <v>884</v>
      </c>
    </row>
    <row r="4" spans="2:6" ht="17" x14ac:dyDescent="0.2">
      <c r="C4" s="101" t="s">
        <v>885</v>
      </c>
      <c r="D4" s="2" t="s">
        <v>886</v>
      </c>
    </row>
    <row r="5" spans="2:6" ht="17" x14ac:dyDescent="0.2">
      <c r="C5" s="100" t="s">
        <v>887</v>
      </c>
      <c r="D5" s="97">
        <v>0.05</v>
      </c>
      <c r="F5" t="s">
        <v>889</v>
      </c>
    </row>
    <row r="6" spans="2:6" ht="17" x14ac:dyDescent="0.2">
      <c r="C6" s="100" t="s">
        <v>888</v>
      </c>
      <c r="D6" s="97">
        <v>0.05</v>
      </c>
      <c r="F6" t="s">
        <v>890</v>
      </c>
    </row>
    <row r="7" spans="2:6" ht="17" x14ac:dyDescent="0.2">
      <c r="C7" s="100" t="s">
        <v>891</v>
      </c>
      <c r="D7" s="97">
        <v>0.05</v>
      </c>
    </row>
    <row r="8" spans="2:6" ht="17" x14ac:dyDescent="0.2">
      <c r="C8" s="100" t="s">
        <v>892</v>
      </c>
      <c r="D8" s="97">
        <v>0.05</v>
      </c>
    </row>
    <row r="9" spans="2:6" ht="17" x14ac:dyDescent="0.2">
      <c r="C9" s="100" t="s">
        <v>901</v>
      </c>
      <c r="D9" s="97"/>
    </row>
    <row r="11" spans="2:6" ht="17" x14ac:dyDescent="0.2">
      <c r="C11" s="100" t="s">
        <v>893</v>
      </c>
    </row>
    <row r="12" spans="2:6" ht="17" x14ac:dyDescent="0.2">
      <c r="C12" s="100" t="s">
        <v>894</v>
      </c>
      <c r="D12" s="97">
        <v>0</v>
      </c>
    </row>
    <row r="13" spans="2:6" ht="17" x14ac:dyDescent="0.2">
      <c r="C13" s="100" t="s">
        <v>895</v>
      </c>
      <c r="D13" s="97">
        <v>0</v>
      </c>
    </row>
    <row r="14" spans="2:6" ht="17" x14ac:dyDescent="0.2">
      <c r="C14" s="100" t="s">
        <v>688</v>
      </c>
      <c r="D14" s="97">
        <v>0.05</v>
      </c>
    </row>
    <row r="16" spans="2:6" ht="17" x14ac:dyDescent="0.2">
      <c r="C16" s="100" t="s">
        <v>896</v>
      </c>
      <c r="D16" s="97">
        <v>0.05</v>
      </c>
    </row>
    <row r="17" spans="3:4" ht="17" x14ac:dyDescent="0.2">
      <c r="C17" s="100" t="s">
        <v>897</v>
      </c>
    </row>
    <row r="19" spans="3:4" ht="17" x14ac:dyDescent="0.2">
      <c r="C19" s="100" t="s">
        <v>898</v>
      </c>
      <c r="D19" s="97">
        <v>0.05</v>
      </c>
    </row>
    <row r="21" spans="3:4" ht="17" x14ac:dyDescent="0.2">
      <c r="C21" s="100" t="s">
        <v>899</v>
      </c>
      <c r="D21" s="97">
        <v>0.05</v>
      </c>
    </row>
    <row r="23" spans="3:4" ht="17" x14ac:dyDescent="0.2">
      <c r="C23" s="100" t="s">
        <v>900</v>
      </c>
      <c r="D23" s="97">
        <v>0.05</v>
      </c>
    </row>
    <row r="25" spans="3:4" ht="17" x14ac:dyDescent="0.2">
      <c r="C25" s="101" t="s">
        <v>903</v>
      </c>
    </row>
    <row r="26" spans="3:4" ht="34" x14ac:dyDescent="0.2">
      <c r="C26" s="102" t="s">
        <v>902</v>
      </c>
    </row>
    <row r="28" spans="3:4" ht="34" x14ac:dyDescent="0.2">
      <c r="C28" s="103" t="s">
        <v>904</v>
      </c>
    </row>
    <row r="29" spans="3:4" ht="51" x14ac:dyDescent="0.2">
      <c r="C29" s="100" t="s">
        <v>905</v>
      </c>
    </row>
    <row r="31" spans="3:4" ht="17" x14ac:dyDescent="0.2">
      <c r="C31" s="101" t="s">
        <v>907</v>
      </c>
    </row>
    <row r="32" spans="3:4" ht="34" x14ac:dyDescent="0.2">
      <c r="C32" s="102" t="s">
        <v>906</v>
      </c>
    </row>
    <row r="33" spans="3:3" x14ac:dyDescent="0.2">
      <c r="C33" s="102"/>
    </row>
    <row r="34" spans="3:3" ht="17" x14ac:dyDescent="0.2">
      <c r="C34" s="104" t="s">
        <v>914</v>
      </c>
    </row>
    <row r="35" spans="3:3" ht="34" x14ac:dyDescent="0.2">
      <c r="C35" s="102" t="s">
        <v>915</v>
      </c>
    </row>
    <row r="37" spans="3:3" ht="17" x14ac:dyDescent="0.2">
      <c r="C37" s="104" t="s">
        <v>908</v>
      </c>
    </row>
    <row r="38" spans="3:3" ht="34" x14ac:dyDescent="0.2">
      <c r="C38" s="102" t="s">
        <v>909</v>
      </c>
    </row>
    <row r="40" spans="3:3" ht="17" x14ac:dyDescent="0.2">
      <c r="C40" s="104" t="s">
        <v>910</v>
      </c>
    </row>
    <row r="41" spans="3:3" ht="34" x14ac:dyDescent="0.2">
      <c r="C41" s="102" t="s">
        <v>911</v>
      </c>
    </row>
    <row r="43" spans="3:3" ht="34" x14ac:dyDescent="0.2">
      <c r="C43" s="104" t="s">
        <v>912</v>
      </c>
    </row>
    <row r="44" spans="3:3" ht="34" x14ac:dyDescent="0.2">
      <c r="C44" s="102" t="s">
        <v>913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68454-167A-4B29-BA55-AEB739E86C3E}">
  <sheetPr codeName="Sheet1"/>
  <dimension ref="B2:F42"/>
  <sheetViews>
    <sheetView topLeftCell="A31" zoomScale="145" zoomScaleNormal="145" workbookViewId="0">
      <selection activeCell="C16" sqref="C16"/>
    </sheetView>
  </sheetViews>
  <sheetFormatPr baseColWidth="10" defaultColWidth="8.83203125" defaultRowHeight="15" x14ac:dyDescent="0.2"/>
  <cols>
    <col min="2" max="2" width="65.83203125" customWidth="1"/>
    <col min="3" max="3" width="18" customWidth="1"/>
    <col min="4" max="4" width="22" style="35" customWidth="1"/>
    <col min="5" max="5" width="23" bestFit="1" customWidth="1"/>
    <col min="6" max="6" width="13.83203125" bestFit="1" customWidth="1"/>
  </cols>
  <sheetData>
    <row r="2" spans="2:4" x14ac:dyDescent="0.2">
      <c r="B2" t="s">
        <v>240</v>
      </c>
    </row>
    <row r="4" spans="2:4" x14ac:dyDescent="0.2">
      <c r="B4" s="44" t="s">
        <v>263</v>
      </c>
      <c r="C4" s="44"/>
      <c r="D4" s="45"/>
    </row>
    <row r="5" spans="2:4" x14ac:dyDescent="0.2">
      <c r="B5" s="41" t="s">
        <v>210</v>
      </c>
      <c r="C5" s="41"/>
      <c r="D5" s="42" t="s">
        <v>264</v>
      </c>
    </row>
    <row r="6" spans="2:4" x14ac:dyDescent="0.2">
      <c r="B6" t="s">
        <v>241</v>
      </c>
    </row>
    <row r="7" spans="2:4" x14ac:dyDescent="0.2">
      <c r="B7" t="s">
        <v>242</v>
      </c>
      <c r="D7" s="43">
        <v>4000000</v>
      </c>
    </row>
    <row r="8" spans="2:4" x14ac:dyDescent="0.2">
      <c r="B8" t="s">
        <v>243</v>
      </c>
      <c r="D8" s="43"/>
    </row>
    <row r="9" spans="2:4" x14ac:dyDescent="0.2">
      <c r="B9" s="41" t="s">
        <v>265</v>
      </c>
      <c r="C9" s="41"/>
      <c r="D9" s="42">
        <f>SUM(D7:D8)</f>
        <v>4000000</v>
      </c>
    </row>
    <row r="10" spans="2:4" x14ac:dyDescent="0.2">
      <c r="B10" t="s">
        <v>244</v>
      </c>
    </row>
    <row r="11" spans="2:4" x14ac:dyDescent="0.2">
      <c r="B11" t="s">
        <v>245</v>
      </c>
      <c r="D11" s="35">
        <v>2000000</v>
      </c>
    </row>
    <row r="18" spans="2:6" x14ac:dyDescent="0.2">
      <c r="B18" s="41" t="s">
        <v>266</v>
      </c>
      <c r="C18" s="41"/>
      <c r="D18" s="42">
        <f>D9-SUM(D11:D17)</f>
        <v>2000000</v>
      </c>
    </row>
    <row r="19" spans="2:6" x14ac:dyDescent="0.2">
      <c r="B19" t="s">
        <v>246</v>
      </c>
      <c r="D19" s="35">
        <v>300000</v>
      </c>
    </row>
    <row r="20" spans="2:6" x14ac:dyDescent="0.2">
      <c r="B20" t="s">
        <v>247</v>
      </c>
      <c r="C20">
        <v>1500000</v>
      </c>
    </row>
    <row r="21" spans="2:6" x14ac:dyDescent="0.2">
      <c r="B21" t="s">
        <v>248</v>
      </c>
      <c r="C21">
        <v>100000</v>
      </c>
    </row>
    <row r="22" spans="2:6" x14ac:dyDescent="0.2">
      <c r="B22" t="s">
        <v>267</v>
      </c>
      <c r="C22">
        <f>C20-C21</f>
        <v>1400000</v>
      </c>
      <c r="D22" s="35">
        <f>IF(C22&lt;=12000000,C22,IF(C22&gt;12000000,MAX(D18/3,C22)))</f>
        <v>1400000</v>
      </c>
      <c r="E22" t="s">
        <v>272</v>
      </c>
      <c r="F22" s="35">
        <f>C22-D22</f>
        <v>0</v>
      </c>
    </row>
    <row r="23" spans="2:6" x14ac:dyDescent="0.2">
      <c r="B23" s="41" t="s">
        <v>271</v>
      </c>
      <c r="C23" s="41"/>
      <c r="D23" s="42">
        <f>SUM(D19:D22)</f>
        <v>1700000</v>
      </c>
    </row>
    <row r="24" spans="2:6" x14ac:dyDescent="0.2">
      <c r="B24" s="41" t="s">
        <v>268</v>
      </c>
      <c r="C24" s="41"/>
      <c r="D24" s="42">
        <f>D18-D23</f>
        <v>300000</v>
      </c>
    </row>
    <row r="25" spans="2:6" x14ac:dyDescent="0.2">
      <c r="B25" t="s">
        <v>249</v>
      </c>
    </row>
    <row r="26" spans="2:6" x14ac:dyDescent="0.2">
      <c r="B26" t="s">
        <v>250</v>
      </c>
      <c r="D26" s="35">
        <v>100000</v>
      </c>
    </row>
    <row r="27" spans="2:6" x14ac:dyDescent="0.2">
      <c r="B27" t="s">
        <v>251</v>
      </c>
      <c r="D27" s="35">
        <v>500000</v>
      </c>
    </row>
    <row r="28" spans="2:6" x14ac:dyDescent="0.2">
      <c r="B28" t="s">
        <v>252</v>
      </c>
    </row>
    <row r="29" spans="2:6" x14ac:dyDescent="0.2">
      <c r="B29" t="s">
        <v>253</v>
      </c>
    </row>
    <row r="30" spans="2:6" x14ac:dyDescent="0.2">
      <c r="B30" s="41" t="s">
        <v>269</v>
      </c>
      <c r="C30" s="41"/>
      <c r="D30" s="42">
        <f>SUM(D26:D29)</f>
        <v>600000</v>
      </c>
    </row>
    <row r="31" spans="2:6" x14ac:dyDescent="0.2">
      <c r="B31" t="s">
        <v>254</v>
      </c>
    </row>
    <row r="32" spans="2:6" x14ac:dyDescent="0.2">
      <c r="B32" t="s">
        <v>255</v>
      </c>
      <c r="C32">
        <v>25000</v>
      </c>
    </row>
    <row r="33" spans="2:4" x14ac:dyDescent="0.2">
      <c r="B33" t="s">
        <v>256</v>
      </c>
      <c r="D33" s="35">
        <f>C32*50%</f>
        <v>12500</v>
      </c>
    </row>
    <row r="34" spans="2:4" ht="64" x14ac:dyDescent="0.2">
      <c r="B34" s="3" t="s">
        <v>259</v>
      </c>
      <c r="C34" s="3"/>
    </row>
    <row r="35" spans="2:4" x14ac:dyDescent="0.2">
      <c r="B35" t="s">
        <v>260</v>
      </c>
      <c r="D35" s="35">
        <v>20000</v>
      </c>
    </row>
    <row r="36" spans="2:4" x14ac:dyDescent="0.2">
      <c r="B36" t="s">
        <v>257</v>
      </c>
      <c r="D36" s="35">
        <v>10000</v>
      </c>
    </row>
    <row r="37" spans="2:4" x14ac:dyDescent="0.2">
      <c r="B37" t="s">
        <v>258</v>
      </c>
      <c r="D37" s="35">
        <v>2000</v>
      </c>
    </row>
    <row r="38" spans="2:4" x14ac:dyDescent="0.2">
      <c r="B38" s="41" t="s">
        <v>261</v>
      </c>
      <c r="C38" s="41"/>
      <c r="D38" s="42">
        <f>SUM(D33:D37)</f>
        <v>44500</v>
      </c>
    </row>
    <row r="39" spans="2:4" x14ac:dyDescent="0.2">
      <c r="B39" t="s">
        <v>262</v>
      </c>
      <c r="D39" s="35">
        <f>D24-D30-D38</f>
        <v>-344500</v>
      </c>
    </row>
    <row r="42" spans="2:4" x14ac:dyDescent="0.2">
      <c r="B42" s="41" t="s">
        <v>270</v>
      </c>
      <c r="C42" s="41"/>
      <c r="D42" s="46">
        <f>IF((D39-375000)*9%&gt;0,(D39-375000)*9%,0)</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CT FAQ</vt:lpstr>
      <vt:lpstr>Fines and Penalties CT</vt:lpstr>
      <vt:lpstr>VAT FAQ</vt:lpstr>
      <vt:lpstr>Deregistration - VAT</vt:lpstr>
      <vt:lpstr>Deregistration -CT</vt:lpstr>
      <vt:lpstr>Taxable Income !</vt:lpstr>
      <vt:lpstr>Custom Law (UAE)</vt:lpstr>
      <vt:lpstr>Tax Residency</vt:lpstr>
      <vt:lpstr>Designated Zones (VAT)</vt:lpstr>
      <vt:lpstr>Temporary Import</vt:lpstr>
      <vt:lpstr>Penal Custom</vt:lpstr>
      <vt:lpstr>Employee Benefit</vt:lpstr>
      <vt:lpstr>Website (Changes)</vt:lpstr>
      <vt:lpstr>Gold Transactions</vt:lpstr>
      <vt:lpstr>Economic Data</vt:lpstr>
      <vt:lpstr>Commercial Company Law</vt:lpstr>
      <vt:lpstr>Tariffs</vt:lpstr>
      <vt:lpstr>CT Calculator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11</dc:creator>
  <cp:lastModifiedBy>Info</cp:lastModifiedBy>
  <cp:lastPrinted>2025-02-03T13:07:36Z</cp:lastPrinted>
  <dcterms:created xsi:type="dcterms:W3CDTF">2025-02-03T07:31:22Z</dcterms:created>
  <dcterms:modified xsi:type="dcterms:W3CDTF">2026-03-17T15:36:08Z</dcterms:modified>
</cp:coreProperties>
</file>